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ushi\Downloads\AURORA\DATA ANALYSISPROJECT\DA PROJECT 2\EXCEL\"/>
    </mc:Choice>
  </mc:AlternateContent>
  <xr:revisionPtr revIDLastSave="0" documentId="8_{44AA90B2-E979-40C4-B83C-73A80BAB9093}" xr6:coauthVersionLast="47" xr6:coauthVersionMax="47" xr10:uidLastSave="{00000000-0000-0000-0000-000000000000}"/>
  <bookViews>
    <workbookView xWindow="-108" yWindow="-108" windowWidth="23256" windowHeight="12456" firstSheet="5" activeTab="9" xr2:uid="{D0B765E7-CAAC-46EE-BFB0-3256F9564611}"/>
  </bookViews>
  <sheets>
    <sheet name="Rating" sheetId="4" r:id="rId1"/>
    <sheet name="Gender" sheetId="5" r:id="rId2"/>
    <sheet name="Education by Attrition" sheetId="6" r:id="rId3"/>
    <sheet name="Attrition by Job" sheetId="7" r:id="rId4"/>
    <sheet name="Department wise Attrition" sheetId="8" r:id="rId5"/>
    <sheet name="Attrition by Age Group" sheetId="10" r:id="rId6"/>
    <sheet name="Martial Status" sheetId="11" r:id="rId7"/>
    <sheet name="Data" sheetId="2" r:id="rId8"/>
    <sheet name="KPI" sheetId="1" r:id="rId9"/>
    <sheet name="Dashboard" sheetId="3" r:id="rId10"/>
  </sheets>
  <definedNames>
    <definedName name="_xlchart.v1.0" hidden="1">'Attrition by Job'!$E$4:$E$12</definedName>
    <definedName name="_xlchart.v1.1" hidden="1">'Attrition by Job'!$F$4:$F$12</definedName>
    <definedName name="_xlchart.v1.6" hidden="1">'Attrition by Job'!$E$4:$E$12</definedName>
    <definedName name="_xlchart.v1.7" hidden="1">'Attrition by Job'!$F$4:$F$12</definedName>
    <definedName name="_xlchart.v2.2" hidden="1">'Martial Status'!$E$4:$E$6</definedName>
    <definedName name="_xlchart.v2.3" hidden="1">'Martial Status'!$F$4:$F$6</definedName>
    <definedName name="_xlchart.v2.4" hidden="1">'Martial Status'!$E$4:$E$6</definedName>
    <definedName name="_xlchart.v2.5" hidden="1">'Martial Status'!$F$4:$F$6</definedName>
    <definedName name="_xlchart.v2.8" hidden="1">'Martial Status'!$E$4:$E$6</definedName>
    <definedName name="_xlchart.v2.9" hidden="1">'Martial Status'!$F$4:$F$6</definedName>
    <definedName name="ExternalData_1" localSheetId="7" hidden="1">Data!$A$1:$AR$1471</definedName>
    <definedName name="Slicer_Department">#N/A</definedName>
    <definedName name="Slicer_Education_Field2">#N/A</definedName>
    <definedName name="Slicer_Gender1">#N/A</definedName>
  </definedNames>
  <calcPr calcId="191029"/>
  <pivotCaches>
    <pivotCache cacheId="1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1" l="1"/>
  <c r="E6" i="11"/>
  <c r="E4" i="11"/>
  <c r="E5" i="7"/>
  <c r="E6" i="7"/>
  <c r="E7" i="7"/>
  <c r="E8" i="7"/>
  <c r="E9" i="7"/>
  <c r="E10" i="7"/>
  <c r="E11" i="7"/>
  <c r="E12" i="7"/>
  <c r="E4" i="7"/>
  <c r="B7" i="4"/>
  <c r="C7" i="4" s="1"/>
  <c r="C12" i="1"/>
  <c r="E12" i="1"/>
  <c r="D12" i="1"/>
  <c r="F6" i="11"/>
  <c r="F5" i="11"/>
  <c r="F4" i="11"/>
  <c r="F5" i="7"/>
  <c r="F6" i="7"/>
  <c r="F7" i="7"/>
  <c r="F8" i="7"/>
  <c r="F9" i="7"/>
  <c r="F10" i="7"/>
  <c r="F11" i="7"/>
  <c r="F12" i="7"/>
  <c r="F4" i="7"/>
  <c r="B10" i="5"/>
  <c r="B11" i="5"/>
  <c r="G12" i="1" l="1"/>
  <c r="F12" i="1"/>
  <c r="C11" i="5"/>
  <c r="C10" i="5"/>
  <c r="B8" i="4"/>
  <c r="C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0D4A00-49E7-4029-81C0-ECCB4BBD8EE4}"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<sst xmlns="http://schemas.openxmlformats.org/spreadsheetml/2006/main" count="19216" uniqueCount="1570">
  <si>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</si>
  <si>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</si>
  <si>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</si>
  <si>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</si>
  <si>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</si>
  <si>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</si>
  <si>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</si>
  <si>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</si>
  <si>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</si>
  <si>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</si>
  <si>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</si>
  <si>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</si>
  <si>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</si>
  <si>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</si>
  <si>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</si>
  <si>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</si>
  <si>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</si>
  <si>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</si>
  <si>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</si>
  <si>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</si>
  <si>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</si>
  <si>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</si>
  <si>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</si>
  <si>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</si>
  <si>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</si>
  <si>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</si>
  <si>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</si>
  <si>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</si>
  <si>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</si>
  <si>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</si>
  <si>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</si>
  <si>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</si>
  <si>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</si>
  <si>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</si>
  <si>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</si>
  <si>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</si>
  <si>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</si>
  <si>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</si>
  <si>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</si>
  <si>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</si>
  <si>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</si>
  <si>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</si>
  <si>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</si>
  <si>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</si>
  <si>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</si>
  <si>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</si>
  <si>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</si>
  <si>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</si>
  <si>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</si>
  <si>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</si>
  <si>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</si>
  <si>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</si>
  <si>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</si>
  <si>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</si>
  <si>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</si>
  <si>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</si>
  <si>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</si>
  <si>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</si>
  <si>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</si>
  <si>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</si>
  <si>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</si>
  <si>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</si>
  <si>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</si>
  <si>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</si>
  <si>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</si>
  <si>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</si>
  <si>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</si>
  <si>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</si>
  <si>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</si>
  <si>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</si>
  <si>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</si>
  <si>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</si>
  <si>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</si>
  <si>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</si>
  <si>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</si>
  <si>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</si>
  <si>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</si>
  <si>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</si>
  <si>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</si>
  <si>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</si>
  <si>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</si>
  <si>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</si>
  <si>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</si>
  <si>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</si>
  <si>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</si>
  <si>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</si>
  <si>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</si>
  <si>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</si>
  <si>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</si>
  <si>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</si>
  <si>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</si>
  <si>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</si>
  <si>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</si>
  <si>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</si>
  <si>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</si>
  <si>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</si>
  <si>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</si>
  <si>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</si>
  <si>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</si>
  <si>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</si>
  <si>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</si>
  <si>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</si>
  <si>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</si>
  <si>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</si>
  <si>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</si>
  <si>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</si>
  <si>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</si>
  <si>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</si>
  <si>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</si>
  <si>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</si>
  <si>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</si>
  <si>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</si>
  <si>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</si>
  <si>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</si>
  <si>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</si>
  <si>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</si>
  <si>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</si>
  <si>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</si>
  <si>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</si>
  <si>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</si>
  <si>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</si>
  <si>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</si>
  <si>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</si>
  <si>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</si>
  <si>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</si>
  <si>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</si>
  <si>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</si>
  <si>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</si>
  <si>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</si>
  <si>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</si>
  <si>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</si>
  <si>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</si>
  <si>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</si>
  <si>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</si>
  <si>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</si>
  <si>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</si>
  <si>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</si>
  <si>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</si>
  <si>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</si>
  <si>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</si>
  <si>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</si>
  <si>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</si>
  <si>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</si>
  <si>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</si>
  <si>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</si>
  <si>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</si>
  <si>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</si>
  <si>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</si>
  <si>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</si>
  <si>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</si>
  <si>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</si>
  <si>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</si>
  <si>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</si>
  <si>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</si>
  <si>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</si>
  <si>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</si>
  <si>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</si>
  <si>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</si>
  <si>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</si>
  <si>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</si>
  <si>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</si>
  <si>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</si>
  <si>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</si>
  <si>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</si>
  <si>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</si>
  <si>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</si>
  <si>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</si>
  <si>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</si>
  <si>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</si>
  <si>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</si>
  <si>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</si>
  <si>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</si>
  <si>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</si>
  <si>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</si>
  <si>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</si>
  <si>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</si>
  <si>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</si>
  <si>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</si>
  <si>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</si>
  <si>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</si>
  <si>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</si>
  <si>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</si>
  <si>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</si>
  <si>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</si>
  <si>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</si>
  <si>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</si>
  <si>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</si>
  <si>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</si>
  <si>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</si>
  <si>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</si>
  <si>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</si>
  <si>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</si>
  <si>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</si>
  <si>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</si>
  <si>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</si>
  <si>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</si>
  <si>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</si>
  <si>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</si>
  <si>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</si>
  <si>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</si>
  <si>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</si>
  <si>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</si>
  <si>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</si>
  <si>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</si>
  <si>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</si>
  <si>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</si>
  <si>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</si>
  <si>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</si>
  <si>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</si>
  <si>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</si>
  <si>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</si>
  <si>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</si>
  <si>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</si>
  <si>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</si>
  <si>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</si>
  <si>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</si>
  <si>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</si>
  <si>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</si>
  <si>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</si>
  <si>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</si>
  <si>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</si>
  <si>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</si>
  <si>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</si>
  <si>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</si>
  <si>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</si>
  <si>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</si>
  <si>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</si>
  <si>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</si>
  <si>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</si>
  <si>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</si>
  <si>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</si>
  <si>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</si>
  <si>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</si>
  <si>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</si>
  <si>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</si>
  <si>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</si>
  <si>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</si>
  <si>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</si>
  <si>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</si>
  <si>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</si>
  <si>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</si>
  <si>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</si>
  <si>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</si>
  <si>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</si>
  <si>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</si>
  <si>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</si>
  <si>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</si>
  <si>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</si>
  <si>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</si>
  <si>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</si>
  <si>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</si>
  <si>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</si>
  <si>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</si>
  <si>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</si>
  <si>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</si>
  <si>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</si>
  <si>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</si>
  <si>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</si>
  <si>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</si>
  <si>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</si>
  <si>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</si>
  <si>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</si>
  <si>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</si>
  <si>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</si>
  <si>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</si>
  <si>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</si>
  <si>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</si>
  <si>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</si>
  <si>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</si>
  <si>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</si>
  <si>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</si>
  <si>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</si>
  <si>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</si>
  <si>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</si>
  <si>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</si>
  <si>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</si>
  <si>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</si>
  <si>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</si>
  <si>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</si>
  <si>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</si>
  <si>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</si>
  <si>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</si>
  <si>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</si>
  <si>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</si>
  <si>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</si>
  <si>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</si>
  <si>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</si>
  <si>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</si>
  <si>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</si>
  <si>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</si>
  <si>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</si>
  <si>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</si>
  <si>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</si>
  <si>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</si>
  <si>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</si>
  <si>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</si>
  <si>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</si>
  <si>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</si>
  <si>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</si>
  <si>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</si>
  <si>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</si>
  <si>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</si>
  <si>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</si>
  <si>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</si>
  <si>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</si>
  <si>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</si>
  <si>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</si>
  <si>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</si>
  <si>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</si>
  <si>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</si>
  <si>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</si>
  <si>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</si>
  <si>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</si>
  <si>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</si>
  <si>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</si>
  <si>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</si>
  <si>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</si>
  <si>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</si>
  <si>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</si>
  <si>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</si>
  <si>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</si>
  <si>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</si>
  <si>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</si>
  <si>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</si>
  <si>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</si>
  <si>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</si>
  <si>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</si>
  <si>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</si>
  <si>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</si>
  <si>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</si>
  <si>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</si>
  <si>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</si>
  <si>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</si>
  <si>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</si>
  <si>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</si>
  <si>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</si>
  <si>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</si>
  <si>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</si>
  <si>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</si>
  <si>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</si>
  <si>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</si>
  <si>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</si>
  <si>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</si>
  <si>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</si>
  <si>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</si>
  <si>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</si>
  <si>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</si>
  <si>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</si>
  <si>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</si>
  <si>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</si>
  <si>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</si>
  <si>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</si>
  <si>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</si>
  <si>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</si>
  <si>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</si>
  <si>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</si>
  <si>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</si>
  <si>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</si>
  <si>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</si>
  <si>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</si>
  <si>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</si>
  <si>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</si>
  <si>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</si>
  <si>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</si>
  <si>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</si>
  <si>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</si>
  <si>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</si>
  <si>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</si>
  <si>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</si>
  <si>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</si>
  <si>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</si>
  <si>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</si>
  <si>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</si>
  <si>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</si>
  <si>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</si>
  <si>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</si>
  <si>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</si>
  <si>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</si>
  <si>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</si>
  <si>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</si>
  <si>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</si>
  <si>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</si>
  <si>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</si>
  <si>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</si>
  <si>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</si>
  <si>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</si>
  <si>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</si>
  <si>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</si>
  <si>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</si>
  <si>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</si>
  <si>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</si>
  <si>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</si>
  <si>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</si>
  <si>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</si>
  <si>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</si>
  <si>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</si>
  <si>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</si>
  <si>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</si>
  <si>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</si>
  <si>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</si>
  <si>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</si>
  <si>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</si>
  <si>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</si>
  <si>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</si>
  <si>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</si>
  <si>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</si>
  <si>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</si>
  <si>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</si>
  <si>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</si>
  <si>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</si>
  <si>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</si>
  <si>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</si>
  <si>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</si>
  <si>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</si>
  <si>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</si>
  <si>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</si>
  <si>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</si>
  <si>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</si>
  <si>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</si>
  <si>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</si>
  <si>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</si>
  <si>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</si>
  <si>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</si>
  <si>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</si>
  <si>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</si>
  <si>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</si>
  <si>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</si>
  <si>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</si>
  <si>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</si>
  <si>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</si>
  <si>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</si>
  <si>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</si>
  <si>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</si>
  <si>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</si>
  <si>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</si>
  <si>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</si>
  <si>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</si>
  <si>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</si>
  <si>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</si>
  <si>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</si>
  <si>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</si>
  <si>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</si>
  <si>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</si>
  <si>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</si>
  <si>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</si>
  <si>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</si>
  <si>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</si>
  <si>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</si>
  <si>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</si>
  <si>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</si>
  <si>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</si>
  <si>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</si>
  <si>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</si>
  <si>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</si>
  <si>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</si>
  <si>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</si>
  <si>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</si>
  <si>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</si>
  <si>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</si>
  <si>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</si>
  <si>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</si>
  <si>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</si>
  <si>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</si>
  <si>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</si>
  <si>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</si>
  <si>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</si>
  <si>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</si>
  <si>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</si>
  <si>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</si>
  <si>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</si>
  <si>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</si>
  <si>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</si>
  <si>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</si>
  <si>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</si>
  <si>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</si>
  <si>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</si>
  <si>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</si>
  <si>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</si>
  <si>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</si>
  <si>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</si>
  <si>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</si>
  <si>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</si>
  <si>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</si>
  <si>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</si>
  <si>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</si>
  <si>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</si>
  <si>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</si>
  <si>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</si>
  <si>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</si>
  <si>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</si>
  <si>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</si>
  <si>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</si>
  <si>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</si>
  <si>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</si>
  <si>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</si>
  <si>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</si>
  <si>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</si>
  <si>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</si>
  <si>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</si>
  <si>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</si>
  <si>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</si>
  <si>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</si>
  <si>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</si>
  <si>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</si>
  <si>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</si>
  <si>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</si>
  <si>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</si>
  <si>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</si>
  <si>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</si>
  <si>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</si>
  <si>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</si>
  <si>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</si>
  <si>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</si>
  <si>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</si>
  <si>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</si>
  <si>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</si>
  <si>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</si>
  <si>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</si>
  <si>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</si>
  <si>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</si>
  <si>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</si>
  <si>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</si>
  <si>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</si>
  <si>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</si>
  <si>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</si>
  <si>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</si>
  <si>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</si>
  <si>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</si>
  <si>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</si>
  <si>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</si>
  <si>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</si>
  <si>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</si>
  <si>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</si>
  <si>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</si>
  <si>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</si>
  <si>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</si>
  <si>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</si>
  <si>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</si>
  <si>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</si>
  <si>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</si>
  <si>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</si>
  <si>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</si>
  <si>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</si>
  <si>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</si>
  <si>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</si>
  <si>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</si>
  <si>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</si>
  <si>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</si>
  <si>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</si>
  <si>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</si>
  <si>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</si>
  <si>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</si>
  <si>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</si>
  <si>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</si>
  <si>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</si>
  <si>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</si>
  <si>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</si>
  <si>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</si>
  <si>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</si>
  <si>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</si>
  <si>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</si>
  <si>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</si>
  <si>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</si>
  <si>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</si>
  <si>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</si>
  <si>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</si>
  <si>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</si>
  <si>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</si>
  <si>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</si>
  <si>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</si>
  <si>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</si>
  <si>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</si>
  <si>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</si>
  <si>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</si>
  <si>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</si>
  <si>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</si>
  <si>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</si>
  <si>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</si>
  <si>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</si>
  <si>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</si>
  <si>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</si>
  <si>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</si>
  <si>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</si>
  <si>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</si>
  <si>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</si>
  <si>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</si>
  <si>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</si>
  <si>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</si>
  <si>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</si>
  <si>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</si>
  <si>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</si>
  <si>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</si>
  <si>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</si>
  <si>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</si>
  <si>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</si>
  <si>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</si>
  <si>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</si>
  <si>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</si>
  <si>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</si>
  <si>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</si>
  <si>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</si>
  <si>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</si>
  <si>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</si>
  <si>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</si>
  <si>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</si>
  <si>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</si>
  <si>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</si>
  <si>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</si>
  <si>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</si>
  <si>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</si>
  <si>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</si>
  <si>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</si>
  <si>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</si>
  <si>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</si>
  <si>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</si>
  <si>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</si>
  <si>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</si>
  <si>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</si>
  <si>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</si>
  <si>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</si>
  <si>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</si>
  <si>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</si>
  <si>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</si>
  <si>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</si>
  <si>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</si>
  <si>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</si>
  <si>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</si>
  <si>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</si>
  <si>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</si>
  <si>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</si>
  <si>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</si>
  <si>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</si>
  <si>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</si>
  <si>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</si>
  <si>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</si>
  <si>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</si>
  <si>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</si>
  <si>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</si>
  <si>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</si>
  <si>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</si>
  <si>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</si>
  <si>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</si>
  <si>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</si>
  <si>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</si>
  <si>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</si>
  <si>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</si>
  <si>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</si>
  <si>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</si>
  <si>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</si>
  <si>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</si>
  <si>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</si>
  <si>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</si>
  <si>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</si>
  <si>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</si>
  <si>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</si>
  <si>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</si>
  <si>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</si>
  <si>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</si>
  <si>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</si>
  <si>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</si>
  <si>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</si>
  <si>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</si>
  <si>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</si>
  <si>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</si>
  <si>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</si>
  <si>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</si>
  <si>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</si>
  <si>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</si>
  <si>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</si>
  <si>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</si>
  <si>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</si>
  <si>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</si>
  <si>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</si>
  <si>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</si>
  <si>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</si>
  <si>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</si>
  <si>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</si>
  <si>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</si>
  <si>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</si>
  <si>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</si>
  <si>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</si>
  <si>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</si>
  <si>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</si>
  <si>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</si>
  <si>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</si>
  <si>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</si>
  <si>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</si>
  <si>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</si>
  <si>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</si>
  <si>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</si>
  <si>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</si>
  <si>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</si>
  <si>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</si>
  <si>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</si>
  <si>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</si>
  <si>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</si>
  <si>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</si>
  <si>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</si>
  <si>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</si>
  <si>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</si>
  <si>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</si>
  <si>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</si>
  <si>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</si>
  <si>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</si>
  <si>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</si>
  <si>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</si>
  <si>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</si>
  <si>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</si>
  <si>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</si>
  <si>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</si>
  <si>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</si>
  <si>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</si>
  <si>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</si>
  <si>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</si>
  <si>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</si>
  <si>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</si>
  <si>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</si>
  <si>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</si>
  <si>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</si>
  <si>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</si>
  <si>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</si>
  <si>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</si>
  <si>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</si>
  <si>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</si>
  <si>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</si>
  <si>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</si>
  <si>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</si>
  <si>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</si>
  <si>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</si>
  <si>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</si>
  <si>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</si>
  <si>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</si>
  <si>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</si>
  <si>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</si>
  <si>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</si>
  <si>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</si>
  <si>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</si>
  <si>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</si>
  <si>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</si>
  <si>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</si>
  <si>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</si>
  <si>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</si>
  <si>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</si>
  <si>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</si>
  <si>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</si>
  <si>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</si>
  <si>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</si>
  <si>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</si>
  <si>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</si>
  <si>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</si>
  <si>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</si>
  <si>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</si>
  <si>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</si>
  <si>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</si>
  <si>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</si>
  <si>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</si>
  <si>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</si>
  <si>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</si>
  <si>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</si>
  <si>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</si>
  <si>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</si>
  <si>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</si>
  <si>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</si>
  <si>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</si>
  <si>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</si>
  <si>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</si>
  <si>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</si>
  <si>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</si>
  <si>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</si>
  <si>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</si>
  <si>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</si>
  <si>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</si>
  <si>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</si>
  <si>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</si>
  <si>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</si>
  <si>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</si>
  <si>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</si>
  <si>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</si>
  <si>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</si>
  <si>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</si>
  <si>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</si>
  <si>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</si>
  <si>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</si>
  <si>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</si>
  <si>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</si>
  <si>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</si>
  <si>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</si>
  <si>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</si>
  <si>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</si>
  <si>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</si>
  <si>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</si>
  <si>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</si>
  <si>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</si>
  <si>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</si>
  <si>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</si>
  <si>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</si>
  <si>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</si>
  <si>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</si>
  <si>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</si>
  <si>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</si>
  <si>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</si>
  <si>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</si>
  <si>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</si>
  <si>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</si>
  <si>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</si>
  <si>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</si>
  <si>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</si>
  <si>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</si>
  <si>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</si>
  <si>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</si>
  <si>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</si>
  <si>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</si>
  <si>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</si>
  <si>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</si>
  <si>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</si>
  <si>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</si>
  <si>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</si>
  <si>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</si>
  <si>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</si>
  <si>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</si>
  <si>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</si>
  <si>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</si>
  <si>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</si>
  <si>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</si>
  <si>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</si>
  <si>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</si>
  <si>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</si>
  <si>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</si>
  <si>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</si>
  <si>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</si>
  <si>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</si>
  <si>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</si>
  <si>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</si>
  <si>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</si>
  <si>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</si>
  <si>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</si>
  <si>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</si>
  <si>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</si>
  <si>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</si>
  <si>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</si>
  <si>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</si>
  <si>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</si>
  <si>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</si>
  <si>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</si>
  <si>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</si>
  <si>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</si>
  <si>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</si>
  <si>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</si>
  <si>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</si>
  <si>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</si>
  <si>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</si>
  <si>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</si>
  <si>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</si>
  <si>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</si>
  <si>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</si>
  <si>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</si>
  <si>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</si>
  <si>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</si>
  <si>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</si>
  <si>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</si>
  <si>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</si>
  <si>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</si>
  <si>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</si>
  <si>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</si>
  <si>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</si>
  <si>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</si>
  <si>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</si>
  <si>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</si>
  <si>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</si>
  <si>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</si>
  <si>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</si>
  <si>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</si>
  <si>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</si>
  <si>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</si>
  <si>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</si>
  <si>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</si>
  <si>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</si>
  <si>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</si>
  <si>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</si>
  <si>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</si>
  <si>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</si>
  <si>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</si>
  <si>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</si>
  <si>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</si>
  <si>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</si>
  <si>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</si>
  <si>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</si>
  <si>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</si>
  <si>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</si>
  <si>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</si>
  <si>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</si>
  <si>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</si>
  <si>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</si>
  <si>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</si>
  <si>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</si>
  <si>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</si>
  <si>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</si>
  <si>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</si>
  <si>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</si>
  <si>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</si>
  <si>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</si>
  <si>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</si>
  <si>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</si>
  <si>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</si>
  <si>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</si>
  <si>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</si>
  <si>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</si>
  <si>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</si>
  <si>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</si>
  <si>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</si>
  <si>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</si>
  <si>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</si>
  <si>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</si>
  <si>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</si>
  <si>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</si>
  <si>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</si>
  <si>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</si>
  <si>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</si>
  <si>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</si>
  <si>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</si>
  <si>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</si>
  <si>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</si>
  <si>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</si>
  <si>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</si>
  <si>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</si>
  <si>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</si>
  <si>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</si>
  <si>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</si>
  <si>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</si>
  <si>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</si>
  <si>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</si>
  <si>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</si>
  <si>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</si>
  <si>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</si>
  <si>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</si>
  <si>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</si>
  <si>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</si>
  <si>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</si>
  <si>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</si>
  <si>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</si>
  <si>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</si>
  <si>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</si>
  <si>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</si>
  <si>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</si>
  <si>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</si>
  <si>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</si>
  <si>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</si>
  <si>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</si>
  <si>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</si>
  <si>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</si>
  <si>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</si>
  <si>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</si>
  <si>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</si>
  <si>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</si>
  <si>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</si>
  <si>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</si>
  <si>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</si>
  <si>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</si>
  <si>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</si>
  <si>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</si>
  <si>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</si>
  <si>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</si>
  <si>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</si>
  <si>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</si>
  <si>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</si>
  <si>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</si>
  <si>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</si>
  <si>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</si>
  <si>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</si>
  <si>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</si>
  <si>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</si>
  <si>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</si>
  <si>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</si>
  <si>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</si>
  <si>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</si>
  <si>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</si>
  <si>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</si>
  <si>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</si>
  <si>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</si>
  <si>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</si>
  <si>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</si>
  <si>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</si>
  <si>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</si>
  <si>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</si>
  <si>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</si>
  <si>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</si>
  <si>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</si>
  <si>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</si>
  <si>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</si>
  <si>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</si>
  <si>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</si>
  <si>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</si>
  <si>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</si>
  <si>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</si>
  <si>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</si>
  <si>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</si>
  <si>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</si>
  <si>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</si>
  <si>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</si>
  <si>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</si>
  <si>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</si>
  <si>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</si>
  <si>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</si>
  <si>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</si>
  <si>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</si>
  <si>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</si>
  <si>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</si>
  <si>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</si>
  <si>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</si>
  <si>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</si>
  <si>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</si>
  <si>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</si>
  <si>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</si>
  <si>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</si>
  <si>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</si>
  <si>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</si>
  <si>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</si>
  <si>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</si>
  <si>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</si>
  <si>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</si>
  <si>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</si>
  <si>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</si>
  <si>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</si>
  <si>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</si>
  <si>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</si>
  <si>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</si>
  <si>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</si>
  <si>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</si>
  <si>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</si>
  <si>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</si>
  <si>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</si>
  <si>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</si>
  <si>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</si>
  <si>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</si>
  <si>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</si>
  <si>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</si>
  <si>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</si>
  <si>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</si>
  <si>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</si>
  <si>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</si>
  <si>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</si>
  <si>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</si>
  <si>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</si>
  <si>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</si>
  <si>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</si>
  <si>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</si>
  <si>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</si>
  <si>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</si>
  <si>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</si>
  <si>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</si>
  <si>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</si>
  <si>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</si>
  <si>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</si>
  <si>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</si>
  <si>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</si>
  <si>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</si>
  <si>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</si>
  <si>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</si>
  <si>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</si>
  <si>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</si>
  <si>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</si>
  <si>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</si>
  <si>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</si>
  <si>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</si>
  <si>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</si>
  <si>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</si>
  <si>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</si>
  <si>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</si>
  <si>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</si>
  <si>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</si>
  <si>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</si>
  <si>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</si>
  <si>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</si>
  <si>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</si>
  <si>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</si>
  <si>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</si>
  <si>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</si>
  <si>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</si>
  <si>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</si>
  <si>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</si>
  <si>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</si>
  <si>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</si>
  <si>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</si>
  <si>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</si>
  <si>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</si>
  <si>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</si>
  <si>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</si>
  <si>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</si>
  <si>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</si>
  <si>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</si>
  <si>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</si>
  <si>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</si>
  <si>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</si>
  <si>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</si>
  <si>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</si>
  <si>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</si>
  <si>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</si>
  <si>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</si>
  <si>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</si>
  <si>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</si>
  <si>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</si>
  <si>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</si>
  <si>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</si>
  <si>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</si>
  <si>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</si>
  <si>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</si>
  <si>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</si>
  <si>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</si>
  <si>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</si>
  <si>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</si>
  <si>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</si>
  <si>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</si>
  <si>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</si>
  <si>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</si>
  <si>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</si>
  <si>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</si>
  <si>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</si>
  <si>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</si>
  <si>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</si>
  <si>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</si>
  <si>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</si>
  <si>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</si>
  <si>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</si>
  <si>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</si>
  <si>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</si>
  <si>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</si>
  <si>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</si>
  <si>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</si>
  <si>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</si>
  <si>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</si>
  <si>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</si>
  <si>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</si>
  <si>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</si>
  <si>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</si>
  <si>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</si>
  <si>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</si>
  <si>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</si>
  <si>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</si>
  <si>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</si>
  <si>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</si>
  <si>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</si>
  <si>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</si>
  <si>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</si>
  <si>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</si>
  <si>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</si>
  <si>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</si>
  <si>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</si>
  <si>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</si>
  <si>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</si>
  <si>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</si>
  <si>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</si>
  <si>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</si>
  <si>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</si>
  <si>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</si>
  <si>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</si>
  <si>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</si>
  <si>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</si>
  <si>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</si>
  <si>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</si>
  <si>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</si>
  <si>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</si>
  <si>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</si>
  <si>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</si>
  <si>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</si>
  <si>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</si>
  <si>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</si>
  <si>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</si>
  <si>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</si>
  <si>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</si>
  <si>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</si>
  <si>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</si>
  <si>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</si>
  <si>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</si>
  <si>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</si>
  <si>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</si>
  <si>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</si>
  <si>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</si>
  <si>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</si>
  <si>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</si>
  <si>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</si>
  <si>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</si>
  <si>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</si>
  <si>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</si>
  <si>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</si>
  <si>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</si>
  <si>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</si>
  <si>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</si>
  <si>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</si>
  <si>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</si>
  <si>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</si>
  <si>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</si>
  <si>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</si>
  <si>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</si>
  <si>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</si>
  <si>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</si>
  <si>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</si>
  <si>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</si>
  <si>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</si>
  <si>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</si>
  <si>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</si>
  <si>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</si>
  <si>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</si>
  <si>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</si>
  <si>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</si>
  <si>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</si>
  <si>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</si>
  <si>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</si>
  <si>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</si>
  <si>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</si>
  <si>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</si>
  <si>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</si>
  <si>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</si>
  <si>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</si>
  <si>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</si>
  <si>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</si>
  <si>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</si>
  <si>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</si>
  <si>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</si>
  <si>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</si>
  <si>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</si>
  <si>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</si>
  <si>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</si>
  <si>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</si>
  <si>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</si>
  <si>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</si>
  <si>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</si>
  <si>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</si>
  <si>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</si>
  <si>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</si>
  <si>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</si>
  <si>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</si>
  <si>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</si>
  <si>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</si>
  <si>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</si>
  <si>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</si>
  <si>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</si>
  <si>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</si>
  <si>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</si>
  <si>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</si>
  <si>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</si>
  <si>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</si>
  <si>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</si>
  <si>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</si>
  <si>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</si>
  <si>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</si>
  <si>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</si>
  <si>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</si>
  <si>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</si>
  <si>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</si>
  <si>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</si>
  <si>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</si>
  <si>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</si>
  <si>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</si>
  <si>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</si>
  <si>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</si>
  <si>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</si>
  <si>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</si>
  <si>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</si>
  <si>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</si>
  <si>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</si>
  <si>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</si>
  <si>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</si>
  <si>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</si>
  <si>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</si>
  <si>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</si>
  <si>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</si>
  <si>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</si>
  <si>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</si>
  <si>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</si>
  <si>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</si>
  <si>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</si>
  <si>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</si>
  <si>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</si>
  <si>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</si>
  <si>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</si>
  <si>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</si>
  <si>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</si>
  <si>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</si>
  <si>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</si>
  <si>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</si>
  <si>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</si>
  <si>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</si>
  <si>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</si>
  <si>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</si>
  <si>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</si>
  <si>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</si>
  <si>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</si>
  <si>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</si>
  <si>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</si>
  <si>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</si>
  <si>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</si>
  <si>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</si>
  <si>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</si>
  <si>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</si>
  <si>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</si>
  <si>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</si>
  <si>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</si>
  <si>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</si>
  <si>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</si>
  <si>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</si>
  <si>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</si>
  <si>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</si>
  <si>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</si>
  <si>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</si>
  <si>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</si>
  <si>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</si>
  <si>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</si>
  <si>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</si>
  <si>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</si>
  <si>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</si>
  <si>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</si>
  <si>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</si>
  <si>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</si>
  <si>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</si>
  <si>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</si>
  <si>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</si>
  <si>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</si>
  <si>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</si>
  <si>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</si>
  <si>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</si>
  <si>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</si>
  <si>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</si>
  <si>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</si>
  <si>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</si>
  <si>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</si>
  <si>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</si>
  <si>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</si>
  <si>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</si>
  <si>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</si>
  <si>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</si>
  <si>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</si>
  <si>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</si>
  <si>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</si>
  <si>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</si>
  <si>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</si>
  <si>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</si>
  <si>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</si>
  <si>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</si>
  <si>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</si>
  <si>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</si>
  <si>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</si>
  <si>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</si>
  <si>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</si>
  <si>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</si>
  <si>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</si>
  <si>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</si>
  <si>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</si>
  <si>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</si>
  <si>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</si>
  <si>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</si>
  <si>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</si>
  <si>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</si>
  <si>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</si>
  <si>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</si>
  <si>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</si>
  <si>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</si>
  <si>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</si>
  <si>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</si>
  <si>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</si>
  <si>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</si>
  <si>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</si>
  <si>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</si>
  <si>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</si>
  <si>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</si>
  <si>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</si>
  <si>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</si>
  <si>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</si>
  <si>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</si>
  <si>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</si>
  <si>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</si>
  <si>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</si>
  <si>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</si>
  <si>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</si>
  <si>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</si>
  <si>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</si>
  <si>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</si>
  <si>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</si>
  <si>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</si>
  <si>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</si>
  <si>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</si>
  <si>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</si>
  <si>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</si>
  <si>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</si>
  <si>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</si>
  <si>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</si>
  <si>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</si>
  <si>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</si>
  <si>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</si>
  <si>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</si>
  <si>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</si>
  <si>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</si>
  <si>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</si>
  <si>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</si>
  <si>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</si>
  <si>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</si>
  <si>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</si>
  <si>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</si>
  <si>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</si>
  <si>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</si>
  <si>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</si>
  <si>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</si>
  <si>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</si>
  <si>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</si>
  <si>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</si>
  <si>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</si>
  <si>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</si>
  <si>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</si>
  <si>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</si>
  <si>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</si>
  <si>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</si>
  <si>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</si>
  <si>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</si>
  <si>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</si>
  <si>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</si>
  <si>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</si>
  <si>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</si>
  <si>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</si>
  <si>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</si>
  <si>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</si>
  <si>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</si>
  <si>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</si>
  <si>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</si>
  <si>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</si>
  <si>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</si>
  <si>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</si>
  <si>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</si>
  <si>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</si>
  <si>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</si>
  <si>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</si>
  <si>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</si>
  <si>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</si>
  <si>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</si>
  <si>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</si>
  <si>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</si>
  <si>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</si>
  <si>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</si>
  <si>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</si>
  <si>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</si>
  <si>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</si>
  <si>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</si>
  <si>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</si>
  <si>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</si>
  <si>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</si>
  <si>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</si>
  <si>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</si>
  <si>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</si>
  <si>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</si>
  <si>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</si>
  <si>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</si>
  <si>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</si>
  <si>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</si>
  <si>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</si>
  <si>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</si>
  <si>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</si>
  <si>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</si>
  <si>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</si>
  <si>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</si>
  <si>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</si>
  <si>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</si>
  <si>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</si>
  <si>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</si>
  <si>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</si>
  <si>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</si>
  <si>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</si>
  <si>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</si>
  <si>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</si>
  <si>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</si>
  <si>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</si>
  <si>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</si>
  <si>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</si>
  <si>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</si>
  <si>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</si>
  <si>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</si>
  <si>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</si>
  <si>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</si>
  <si>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</si>
  <si>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</si>
  <si>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</si>
  <si>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</si>
  <si>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</si>
  <si>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</si>
  <si>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</si>
  <si>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</si>
  <si>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</si>
  <si>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</si>
  <si>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</si>
  <si>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</si>
  <si>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</si>
  <si>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</si>
  <si>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</si>
  <si>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</si>
  <si>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</si>
  <si>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</si>
  <si>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</si>
  <si>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</si>
  <si>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</si>
  <si>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</si>
  <si>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</si>
  <si>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</si>
  <si>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</si>
  <si>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</si>
  <si>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</si>
  <si>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</si>
  <si>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</si>
  <si>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</si>
  <si>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</si>
  <si>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</si>
  <si>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</si>
  <si>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</si>
  <si>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</si>
  <si>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</si>
  <si>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</si>
  <si>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</si>
  <si>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</si>
  <si>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</si>
  <si>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</si>
  <si>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</si>
  <si>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</si>
  <si>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</si>
  <si>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</si>
  <si>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</si>
  <si>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</si>
  <si>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</si>
  <si>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</si>
  <si>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</si>
  <si>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</si>
  <si>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</si>
  <si>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</si>
  <si>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</si>
  <si>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</si>
  <si>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</si>
  <si>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</si>
  <si>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</si>
  <si>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</si>
  <si>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</si>
  <si>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</si>
  <si>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</si>
  <si>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</si>
  <si>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</si>
  <si>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</si>
  <si>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</si>
  <si>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</si>
  <si>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</si>
  <si>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</si>
  <si>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</si>
  <si>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</si>
  <si>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</si>
  <si>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</si>
  <si>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</si>
  <si>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</si>
  <si>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</si>
  <si>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</si>
  <si>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</si>
  <si>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</si>
  <si>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</si>
  <si>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</si>
  <si>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</si>
  <si>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</si>
  <si>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</si>
  <si>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Active Employees</t>
  </si>
  <si>
    <t>Attrition Rate</t>
  </si>
  <si>
    <t>Average Age</t>
  </si>
  <si>
    <t>Average of Job Satisfaction</t>
  </si>
  <si>
    <t>Rating</t>
  </si>
  <si>
    <t>Balance Rating</t>
  </si>
  <si>
    <t>Row Labels</t>
  </si>
  <si>
    <t>Grand Total</t>
  </si>
  <si>
    <t>Sum of Employee Count</t>
  </si>
  <si>
    <t>Count of Attrition</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</si>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</sst>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 fontId="0" fillId="0" borderId="0" xfId="0" applyNumberFormat="1"/>
    <xf numFmtId="10" fontId="0" fillId="0" borderId="0" xfId="1" applyNumberFormat="1" applyFont="1"/>
    <xf numFmtId="0" fontId="0" fillId="2" borderId="0" xfId="0" applyFill="1"/>
    <xf numFmtId="0" fontId="0" fillId="0" borderId="0" xfId="0" applyNumberFormat="1"/>
    <xf numFmtId="17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2">
    <cellStyle name="Normal" xfId="0" builtinId="0"/>
    <cellStyle name="Percent" xfId="1" builtinId="5"/>
  </cellStyles>
  <dxfs count="33">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font>
        <b/>
        <i val="0"/>
        <name val="Calibri"/>
        <family val="2"/>
        <scheme val="minor"/>
      </font>
    </dxf>
    <dxf>
      <numFmt numFmtId="17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 pivot="0" table="0" count="0" xr9:uid="{426E76FD-CE67-4F84-89A4-062AD441AE14}"/>
    <tableStyle name="Slicer Style 1" pivot="0" table="0" count="4" xr9:uid="{E7D811FD-1337-49B7-808C-34A109887316}">
      <tableStyleElement type="wholeTable" dxfId="18"/>
    </tableStyle>
  </tableStyles>
  <colors>
    <mruColors>
      <color rgb="FF602928"/>
      <color rgb="FF8CED79"/>
      <color rgb="FFE226C7"/>
      <color rgb="FFED73D3"/>
    </mruColors>
  </colors>
  <extLst>
    <ext xmlns:x14="http://schemas.microsoft.com/office/spreadsheetml/2009/9/main" uri="{46F421CA-312F-682f-3DD2-61675219B42D}">
      <x14:dxfs count="3">
        <dxf>
          <fill>
            <patternFill>
              <bgColor theme="9" tint="0.39994506668294322"/>
            </patternFill>
          </fill>
        </dxf>
        <dxf>
          <fill>
            <patternFill>
              <bgColor theme="8" tint="0.39994506668294322"/>
            </patternFill>
          </fill>
        </dxf>
        <dxf>
          <fill>
            <patternFill>
              <bgColor theme="8" tint="-0.24994659260841701"/>
            </patternFill>
          </fill>
        </dxf>
      </x14:dxfs>
    </ext>
    <ext xmlns:x14="http://schemas.microsoft.com/office/spreadsheetml/2009/9/main" uri="{EB79DEF2-80B8-43e5-95BD-54CBDDF9020C}">
      <x14:slicerStyles defaultSlicerStyle="Slicer Style 1">
        <x14:slicerStyle name="Slicer "/>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8901-4909-A1D0-3FD51240AC0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5D2E-4954-BCC9-F4CDBFB1F52B}"/>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3-5D2E-4954-BCC9-F4CDBFB1F52B}"/>
            </c:ext>
          </c:extLst>
        </c:ser>
        <c:dLbls>
          <c:showLegendKey val="0"/>
          <c:showVal val="0"/>
          <c:showCatName val="0"/>
          <c:showSerName val="0"/>
          <c:showPercent val="0"/>
          <c:showBubbleSize val="0"/>
        </c:dLbls>
        <c:gapWidth val="182"/>
        <c:overlap val="100"/>
        <c:axId val="2124555248"/>
        <c:axId val="2124553328"/>
      </c:barChart>
      <c:catAx>
        <c:axId val="2124555248"/>
        <c:scaling>
          <c:orientation val="minMax"/>
        </c:scaling>
        <c:delete val="1"/>
        <c:axPos val="l"/>
        <c:majorTickMark val="out"/>
        <c:minorTickMark val="none"/>
        <c:tickLblPos val="nextTo"/>
        <c:crossAx val="2124553328"/>
        <c:crosses val="autoZero"/>
        <c:auto val="1"/>
        <c:lblAlgn val="ctr"/>
        <c:lblOffset val="100"/>
        <c:noMultiLvlLbl val="0"/>
      </c:catAx>
      <c:valAx>
        <c:axId val="2124553328"/>
        <c:scaling>
          <c:orientation val="minMax"/>
          <c:max val="4"/>
        </c:scaling>
        <c:delete val="1"/>
        <c:axPos val="b"/>
        <c:numFmt formatCode="0.0" sourceLinked="1"/>
        <c:majorTickMark val="out"/>
        <c:minorTickMark val="none"/>
        <c:tickLblPos val="nextTo"/>
        <c:crossAx val="212455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172D-4C5E-B637-3ADF4FFCB4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C4D-43BB-8B7D-5F87F804F4E3}"/>
            </c:ext>
          </c:extLst>
        </c:ser>
        <c:dLbls>
          <c:dLblPos val="outEnd"/>
          <c:showLegendKey val="0"/>
          <c:showVal val="1"/>
          <c:showCatName val="0"/>
          <c:showSerName val="0"/>
          <c:showPercent val="0"/>
          <c:showBubbleSize val="0"/>
        </c:dLbls>
        <c:gapWidth val="182"/>
        <c:axId val="1078348832"/>
        <c:axId val="1078356032"/>
      </c:barChart>
      <c:catAx>
        <c:axId val="1078348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356032"/>
        <c:crosses val="autoZero"/>
        <c:auto val="1"/>
        <c:lblAlgn val="ctr"/>
        <c:lblOffset val="100"/>
        <c:noMultiLvlLbl val="0"/>
      </c:catAx>
      <c:valAx>
        <c:axId val="1078356032"/>
        <c:scaling>
          <c:orientation val="minMax"/>
        </c:scaling>
        <c:delete val="1"/>
        <c:axPos val="b"/>
        <c:numFmt formatCode="General" sourceLinked="1"/>
        <c:majorTickMark val="out"/>
        <c:minorTickMark val="none"/>
        <c:tickLblPos val="nextTo"/>
        <c:crossAx val="10783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2C4-4F0D-A757-DF4D554650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A84-4B5D-A617-C4BDF2A119F4}"/>
            </c:ext>
          </c:extLst>
        </c:ser>
        <c:dLbls>
          <c:showLegendKey val="0"/>
          <c:showVal val="0"/>
          <c:showCatName val="0"/>
          <c:showSerName val="0"/>
          <c:showPercent val="0"/>
          <c:showBubbleSize val="0"/>
        </c:dLbls>
        <c:gapWidth val="219"/>
        <c:overlap val="-27"/>
        <c:axId val="283134896"/>
        <c:axId val="283135376"/>
      </c:barChart>
      <c:catAx>
        <c:axId val="28313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35376"/>
        <c:crosses val="autoZero"/>
        <c:auto val="1"/>
        <c:lblAlgn val="ctr"/>
        <c:lblOffset val="100"/>
        <c:noMultiLvlLbl val="0"/>
      </c:catAx>
      <c:valAx>
        <c:axId val="283135376"/>
        <c:scaling>
          <c:orientation val="minMax"/>
        </c:scaling>
        <c:delete val="1"/>
        <c:axPos val="l"/>
        <c:numFmt formatCode="General" sourceLinked="1"/>
        <c:majorTickMark val="none"/>
        <c:minorTickMark val="none"/>
        <c:tickLblPos val="nextTo"/>
        <c:crossAx val="28313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1-03A3-4E88-9AD2-AB3CD9739238}"/>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3A3-4E88-9AD2-AB3CD9739238}"/>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03A3-4E88-9AD2-AB3CD973923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AFC3-47FD-938E-861F98CDCAD2}"/>
            </c:ext>
          </c:extLst>
        </c:ser>
        <c:ser>
          <c:idx val="1"/>
          <c:order val="1"/>
          <c:spPr>
            <a:no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AFC3-47FD-938E-861F98CDCAD2}"/>
            </c:ext>
          </c:extLst>
        </c:ser>
        <c:dLbls>
          <c:showLegendKey val="0"/>
          <c:showVal val="0"/>
          <c:showCatName val="0"/>
          <c:showSerName val="0"/>
          <c:showPercent val="0"/>
          <c:showBubbleSize val="0"/>
        </c:dLbls>
        <c:gapWidth val="0"/>
        <c:overlap val="100"/>
        <c:axId val="2124555248"/>
        <c:axId val="2124553328"/>
      </c:barChart>
      <c:catAx>
        <c:axId val="2124555248"/>
        <c:scaling>
          <c:orientation val="minMax"/>
        </c:scaling>
        <c:delete val="1"/>
        <c:axPos val="l"/>
        <c:majorTickMark val="out"/>
        <c:minorTickMark val="none"/>
        <c:tickLblPos val="nextTo"/>
        <c:crossAx val="2124553328"/>
        <c:crosses val="autoZero"/>
        <c:auto val="1"/>
        <c:lblAlgn val="ctr"/>
        <c:lblOffset val="100"/>
        <c:noMultiLvlLbl val="0"/>
      </c:catAx>
      <c:valAx>
        <c:axId val="2124553328"/>
        <c:scaling>
          <c:orientation val="minMax"/>
          <c:max val="4"/>
        </c:scaling>
        <c:delete val="1"/>
        <c:axPos val="b"/>
        <c:numFmt formatCode="0.0" sourceLinked="1"/>
        <c:majorTickMark val="out"/>
        <c:minorTickMark val="none"/>
        <c:tickLblPos val="nextTo"/>
        <c:crossAx val="212455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E226C7"/>
                  </a:gs>
                  <a:gs pos="48000">
                    <a:srgbClr val="E226C7"/>
                  </a:gs>
                  <a:gs pos="100000">
                    <a:srgbClr val="ED73D3"/>
                  </a:gs>
                </a:gsLst>
                <a:lin ang="16200000" scaled="1"/>
              </a:gradFill>
              <a:ln w="19050">
                <a:noFill/>
              </a:ln>
              <a:effectLst/>
            </c:spPr>
            <c:extLst>
              <c:ext xmlns:c16="http://schemas.microsoft.com/office/drawing/2014/chart" uri="{C3380CC4-5D6E-409C-BE32-E72D297353CC}">
                <c16:uniqueId val="{00000001-016E-4FDF-B7F1-1F269705758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16E-4FDF-B7F1-1F2697057583}"/>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016E-4FDF-B7F1-1F269705758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84294073259196"/>
          <c:y val="9.6491228070175433E-2"/>
          <c:w val="0.78231344897520549"/>
          <c:h val="0.80701754385964908"/>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55D9-4608-9CCC-775833FBE2D5}"/>
              </c:ext>
            </c:extLst>
          </c:dPt>
          <c:dPt>
            <c:idx val="1"/>
            <c:bubble3D val="0"/>
            <c:spPr>
              <a:gradFill>
                <a:gsLst>
                  <a:gs pos="0">
                    <a:srgbClr val="002060"/>
                  </a:gs>
                  <a:gs pos="48000">
                    <a:srgbClr val="0070C0"/>
                  </a:gs>
                  <a:gs pos="100000">
                    <a:srgbClr val="00B0F0"/>
                  </a:gs>
                </a:gsLst>
                <a:lin ang="16200000" scaled="1"/>
              </a:gradFill>
              <a:ln w="19050">
                <a:noFill/>
              </a:ln>
              <a:effectLst/>
            </c:spPr>
            <c:extLst>
              <c:ext xmlns:c16="http://schemas.microsoft.com/office/drawing/2014/chart" uri="{C3380CC4-5D6E-409C-BE32-E72D297353CC}">
                <c16:uniqueId val="{00000003-55D9-4608-9CCC-775833FBE2D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55D9-4608-9CCC-775833FBE2D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COMPLETED.xlsx]Education by Attrition!Education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48000">
                <a:schemeClr val="accent6">
                  <a:lumMod val="75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48000">
                  <a:schemeClr val="accent6">
                    <a:lumMod val="75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A8C-4869-8216-08901904ADCA}"/>
            </c:ext>
          </c:extLst>
        </c:ser>
        <c:dLbls>
          <c:dLblPos val="outEnd"/>
          <c:showLegendKey val="0"/>
          <c:showVal val="1"/>
          <c:showCatName val="0"/>
          <c:showSerName val="0"/>
          <c:showPercent val="0"/>
          <c:showBubbleSize val="0"/>
        </c:dLbls>
        <c:gapWidth val="75"/>
        <c:axId val="1078348832"/>
        <c:axId val="1078356032"/>
      </c:barChart>
      <c:catAx>
        <c:axId val="1078348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Cascadia Code" panose="020B0609020000020004" pitchFamily="49" charset="0"/>
              </a:defRPr>
            </a:pPr>
            <a:endParaRPr lang="en-US"/>
          </a:p>
        </c:txPr>
        <c:crossAx val="1078356032"/>
        <c:crosses val="autoZero"/>
        <c:auto val="1"/>
        <c:lblAlgn val="ctr"/>
        <c:lblOffset val="100"/>
        <c:noMultiLvlLbl val="0"/>
      </c:catAx>
      <c:valAx>
        <c:axId val="1078356032"/>
        <c:scaling>
          <c:orientation val="minMax"/>
        </c:scaling>
        <c:delete val="1"/>
        <c:axPos val="b"/>
        <c:numFmt formatCode="General" sourceLinked="1"/>
        <c:majorTickMark val="out"/>
        <c:minorTickMark val="none"/>
        <c:tickLblPos val="nextTo"/>
        <c:crossAx val="10783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COMPLETED.xlsx]Department wise Attrition!Department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rgbClr val="8CED79"/>
          </a:solidFill>
          <a:ln w="19050">
            <a:solidFill>
              <a:schemeClr val="lt1"/>
            </a:solidFill>
          </a:ln>
          <a:effectLst/>
        </c:spPr>
      </c:pivotFmt>
      <c:pivotFmt>
        <c:idx val="8"/>
        <c:spPr>
          <a:gradFill>
            <a:gsLst>
              <a:gs pos="0">
                <a:schemeClr val="bg2">
                  <a:lumMod val="50000"/>
                </a:schemeClr>
              </a:gs>
              <a:gs pos="48000">
                <a:schemeClr val="bg2">
                  <a:lumMod val="25000"/>
                </a:schemeClr>
              </a:gs>
              <a:gs pos="100000">
                <a:schemeClr val="bg2">
                  <a:lumMod val="10000"/>
                </a:schemeClr>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E9EA-4DA8-B0D4-D7200BFC11C1}"/>
              </c:ext>
            </c:extLst>
          </c:dPt>
          <c:dPt>
            <c:idx val="1"/>
            <c:bubble3D val="0"/>
            <c:spPr>
              <a:solidFill>
                <a:srgbClr val="8CED79"/>
              </a:solidFill>
              <a:ln w="19050">
                <a:solidFill>
                  <a:schemeClr val="lt1"/>
                </a:solidFill>
              </a:ln>
              <a:effectLst/>
            </c:spPr>
            <c:extLst>
              <c:ext xmlns:c16="http://schemas.microsoft.com/office/drawing/2014/chart" uri="{C3380CC4-5D6E-409C-BE32-E72D297353CC}">
                <c16:uniqueId val="{00000003-E9EA-4DA8-B0D4-D7200BFC11C1}"/>
              </c:ext>
            </c:extLst>
          </c:dPt>
          <c:dPt>
            <c:idx val="2"/>
            <c:bubble3D val="0"/>
            <c:spPr>
              <a:gradFill>
                <a:gsLst>
                  <a:gs pos="0">
                    <a:schemeClr val="bg2">
                      <a:lumMod val="50000"/>
                    </a:schemeClr>
                  </a:gs>
                  <a:gs pos="48000">
                    <a:schemeClr val="bg2">
                      <a:lumMod val="25000"/>
                    </a:schemeClr>
                  </a:gs>
                  <a:gs pos="100000">
                    <a:schemeClr val="bg2">
                      <a:lumMod val="10000"/>
                    </a:schemeClr>
                  </a:gs>
                </a:gsLst>
                <a:lin ang="10800000" scaled="0"/>
              </a:gradFill>
              <a:ln w="19050">
                <a:solidFill>
                  <a:schemeClr val="lt1"/>
                </a:solidFill>
              </a:ln>
              <a:effectLst/>
            </c:spPr>
            <c:extLst>
              <c:ext xmlns:c16="http://schemas.microsoft.com/office/drawing/2014/chart" uri="{C3380CC4-5D6E-409C-BE32-E72D297353CC}">
                <c16:uniqueId val="{00000005-E9EA-4DA8-B0D4-D7200BFC11C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9EA-4DA8-B0D4-D7200BFC11C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scadia Code" panose="020B0609020000020004" pitchFamily="49" charset="0"/>
              <a:ea typeface="+mn-ea"/>
              <a:cs typeface="Cascadia Code" panose="020B0609020000020004" pitchFamily="49"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2  FULL PROJECT IN EXCEL COMPLETED.xlsx]Attrition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48000">
                <a:schemeClr val="accent2">
                  <a:lumMod val="75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50000"/>
                  </a:schemeClr>
                </a:gs>
                <a:gs pos="48000">
                  <a:schemeClr val="accent2">
                    <a:lumMod val="75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731-4C14-AC32-3EFE529DA1C8}"/>
            </c:ext>
          </c:extLst>
        </c:ser>
        <c:dLbls>
          <c:dLblPos val="outEnd"/>
          <c:showLegendKey val="0"/>
          <c:showVal val="1"/>
          <c:showCatName val="0"/>
          <c:showSerName val="0"/>
          <c:showPercent val="0"/>
          <c:showBubbleSize val="0"/>
        </c:dLbls>
        <c:gapWidth val="107"/>
        <c:overlap val="-27"/>
        <c:axId val="283134896"/>
        <c:axId val="283135376"/>
      </c:barChart>
      <c:catAx>
        <c:axId val="28313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Cascadia Code" panose="020B0609020000020004" pitchFamily="49" charset="0"/>
              </a:defRPr>
            </a:pPr>
            <a:endParaRPr lang="en-US"/>
          </a:p>
        </c:txPr>
        <c:crossAx val="283135376"/>
        <c:crosses val="autoZero"/>
        <c:auto val="1"/>
        <c:lblAlgn val="ctr"/>
        <c:lblOffset val="100"/>
        <c:noMultiLvlLbl val="0"/>
      </c:catAx>
      <c:valAx>
        <c:axId val="283135376"/>
        <c:scaling>
          <c:orientation val="minMax"/>
        </c:scaling>
        <c:delete val="1"/>
        <c:axPos val="l"/>
        <c:numFmt formatCode="General" sourceLinked="1"/>
        <c:majorTickMark val="none"/>
        <c:minorTickMark val="none"/>
        <c:tickLblPos val="nextTo"/>
        <c:crossAx val="28313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BF6893-C6E5-4640-9CB2-99A20CD221D0}">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75C9B7C-C042-4772-A214-C1BED0E5563A}">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1EBF6893-C6E5-4640-9CB2-99A20CD221D0}">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975C9B7C-C042-4772-A214-C1BED0E5563A}">
          <cx:spPr>
            <a:gradFill>
              <a:gsLst>
                <a:gs pos="0">
                  <a:schemeClr val="accent4">
                    <a:lumMod val="50000"/>
                  </a:schemeClr>
                </a:gs>
                <a:gs pos="48000">
                  <a:schemeClr val="accent4">
                    <a:lumMod val="75000"/>
                  </a:schemeClr>
                </a:gs>
                <a:gs pos="100000">
                  <a:schemeClr val="accent4">
                    <a:lumMod val="60000"/>
                    <a:lumOff val="40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latin typeface="+mn-lt"/>
              </a:defRPr>
            </a:pPr>
            <a:endParaRPr lang="en-US" sz="1100" b="1" i="0" u="none" strike="noStrike" baseline="0">
              <a:solidFill>
                <a:sysClr val="windowText" lastClr="000000">
                  <a:lumMod val="65000"/>
                  <a:lumOff val="35000"/>
                </a:sysClr>
              </a:solidFill>
              <a:latin typeface="+mn-lt"/>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350520</xdr:colOff>
      <xdr:row>2</xdr:row>
      <xdr:rowOff>99060</xdr:rowOff>
    </xdr:from>
    <xdr:to>
      <xdr:col>7</xdr:col>
      <xdr:colOff>236220</xdr:colOff>
      <xdr:row>7</xdr:row>
      <xdr:rowOff>106680</xdr:rowOff>
    </xdr:to>
    <xdr:graphicFrame macro="">
      <xdr:nvGraphicFramePr>
        <xdr:cNvPr id="2" name="Chart 1">
          <a:extLst>
            <a:ext uri="{FF2B5EF4-FFF2-40B4-BE49-F238E27FC236}">
              <a16:creationId xmlns:a16="http://schemas.microsoft.com/office/drawing/2014/main" id="{952D330E-73AC-97D0-80CF-C5B74EF6A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175260</xdr:colOff>
      <xdr:row>0</xdr:row>
      <xdr:rowOff>160021</xdr:rowOff>
    </xdr:from>
    <xdr:to>
      <xdr:col>11</xdr:col>
      <xdr:colOff>213360</xdr:colOff>
      <xdr:row>5</xdr:row>
      <xdr:rowOff>137160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10D67FC1-DBAE-17A6-1B08-5B018F30B5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88380" y="160021"/>
              <a:ext cx="186690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6</xdr:row>
      <xdr:rowOff>175260</xdr:rowOff>
    </xdr:from>
    <xdr:to>
      <xdr:col>14</xdr:col>
      <xdr:colOff>38100</xdr:colOff>
      <xdr:row>20</xdr:row>
      <xdr:rowOff>81915</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CE0BDD6B-6C70-4F8F-40AE-5AE0610E7A6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780020" y="1272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1287780</xdr:colOff>
      <xdr:row>9</xdr:row>
      <xdr:rowOff>15240</xdr:rowOff>
    </xdr:from>
    <xdr:to>
      <xdr:col>7</xdr:col>
      <xdr:colOff>419100</xdr:colOff>
      <xdr:row>19</xdr:row>
      <xdr:rowOff>83820</xdr:rowOff>
    </xdr:to>
    <xdr:graphicFrame macro="">
      <xdr:nvGraphicFramePr>
        <xdr:cNvPr id="5" name="Chart 4">
          <a:extLst>
            <a:ext uri="{FF2B5EF4-FFF2-40B4-BE49-F238E27FC236}">
              <a16:creationId xmlns:a16="http://schemas.microsoft.com/office/drawing/2014/main" id="{66619375-CB06-1519-0870-88B4AA9EB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304800</xdr:colOff>
      <xdr:row>0</xdr:row>
      <xdr:rowOff>0</xdr:rowOff>
    </xdr:from>
    <xdr:to>
      <xdr:col>10</xdr:col>
      <xdr:colOff>304800</xdr:colOff>
      <xdr:row>13</xdr:row>
      <xdr:rowOff>89535</xdr:rowOff>
    </xdr:to>
    <mc:AlternateContent xmlns:mc="http://schemas.openxmlformats.org/markup-compatibility/2006">
      <mc:Choice xmlns:a14="http://schemas.microsoft.com/office/drawing/2010/main" Requires="a14">
        <xdr:graphicFrame macro="">
          <xdr:nvGraphicFramePr>
            <xdr:cNvPr id="3" name="Education Field 1">
              <a:extLst>
                <a:ext uri="{FF2B5EF4-FFF2-40B4-BE49-F238E27FC236}">
                  <a16:creationId xmlns:a16="http://schemas.microsoft.com/office/drawing/2014/main" id="{E26456BA-ACF2-414D-C469-F1AB57C9020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69976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167640</xdr:colOff>
      <xdr:row>3</xdr:row>
      <xdr:rowOff>144780</xdr:rowOff>
    </xdr:from>
    <xdr:to>
      <xdr:col>14</xdr:col>
      <xdr:colOff>167640</xdr:colOff>
      <xdr:row>17</xdr:row>
      <xdr:rowOff>51435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B343C86D-8D5C-D46E-C631-74B8A11657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001000" y="693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822960</xdr:colOff>
      <xdr:row>14</xdr:row>
      <xdr:rowOff>99060</xdr:rowOff>
    </xdr:from>
    <xdr:to>
      <xdr:col>1</xdr:col>
      <xdr:colOff>1455420</xdr:colOff>
      <xdr:row>22</xdr:row>
      <xdr:rowOff>83820</xdr:rowOff>
    </xdr:to>
    <xdr:graphicFrame macro="">
      <xdr:nvGraphicFramePr>
        <xdr:cNvPr id="5" name="Chart 4">
          <a:extLst>
            <a:ext uri="{FF2B5EF4-FFF2-40B4-BE49-F238E27FC236}">
              <a16:creationId xmlns:a16="http://schemas.microsoft.com/office/drawing/2014/main" id="{6FC378C3-7766-2A38-87CB-4FB87CBAF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5</xdr:row>
      <xdr:rowOff>137160</xdr:rowOff>
    </xdr:from>
    <xdr:to>
      <xdr:col>8</xdr:col>
      <xdr:colOff>106680</xdr:colOff>
      <xdr:row>20</xdr:row>
      <xdr:rowOff>30480</xdr:rowOff>
    </xdr:to>
    <xdr:graphicFrame macro="">
      <xdr:nvGraphicFramePr>
        <xdr:cNvPr id="2" name="Chart 1">
          <a:extLst>
            <a:ext uri="{FF2B5EF4-FFF2-40B4-BE49-F238E27FC236}">
              <a16:creationId xmlns:a16="http://schemas.microsoft.com/office/drawing/2014/main" id="{77495DA8-B630-4841-198E-4B47A7D51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487680</xdr:colOff>
      <xdr:row>2</xdr:row>
      <xdr:rowOff>179070</xdr:rowOff>
    </xdr:from>
    <xdr:to>
      <xdr:col>14</xdr:col>
      <xdr:colOff>182880</xdr:colOff>
      <xdr:row>17</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29E2A8-CE35-7247-0931-112A21BD86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15200" y="5448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5</xdr:row>
      <xdr:rowOff>137160</xdr:rowOff>
    </xdr:from>
    <xdr:to>
      <xdr:col>8</xdr:col>
      <xdr:colOff>175260</xdr:colOff>
      <xdr:row>15</xdr:row>
      <xdr:rowOff>83820</xdr:rowOff>
    </xdr:to>
    <xdr:graphicFrame macro="">
      <xdr:nvGraphicFramePr>
        <xdr:cNvPr id="2" name="Chart 1">
          <a:extLst>
            <a:ext uri="{FF2B5EF4-FFF2-40B4-BE49-F238E27FC236}">
              <a16:creationId xmlns:a16="http://schemas.microsoft.com/office/drawing/2014/main" id="{B9F040DB-C3F5-AD34-049A-A81959DEB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5</xdr:row>
      <xdr:rowOff>137160</xdr:rowOff>
    </xdr:from>
    <xdr:to>
      <xdr:col>10</xdr:col>
      <xdr:colOff>396240</xdr:colOff>
      <xdr:row>20</xdr:row>
      <xdr:rowOff>137160</xdr:rowOff>
    </xdr:to>
    <xdr:graphicFrame macro="">
      <xdr:nvGraphicFramePr>
        <xdr:cNvPr id="2" name="Chart 1">
          <a:extLst>
            <a:ext uri="{FF2B5EF4-FFF2-40B4-BE49-F238E27FC236}">
              <a16:creationId xmlns:a16="http://schemas.microsoft.com/office/drawing/2014/main" id="{3DBBC58E-AB24-54CB-82CD-588860855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281940</xdr:colOff>
      <xdr:row>4</xdr:row>
      <xdr:rowOff>160020</xdr:rowOff>
    </xdr:from>
    <xdr:to>
      <xdr:col>20</xdr:col>
      <xdr:colOff>281940</xdr:colOff>
      <xdr:row>18</xdr:row>
      <xdr:rowOff>66675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28249CBD-E026-9613-9998-941DE196C24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856720" y="891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2</xdr:row>
      <xdr:rowOff>68580</xdr:rowOff>
    </xdr:from>
    <xdr:to>
      <xdr:col>15</xdr:col>
      <xdr:colOff>53340</xdr:colOff>
      <xdr:row>15</xdr:row>
      <xdr:rowOff>158115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4233F6EC-EB50-1011-D906-50CD909E6BF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8580120" y="434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205740</xdr:colOff>
      <xdr:row>4</xdr:row>
      <xdr:rowOff>171450</xdr:rowOff>
    </xdr:from>
    <xdr:to>
      <xdr:col>14</xdr:col>
      <xdr:colOff>510540</xdr:colOff>
      <xdr:row>19</xdr:row>
      <xdr:rowOff>171450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F2B871F-8755-614D-4509-5D848B443C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1640" y="9029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64554</xdr:colOff>
      <xdr:row>0</xdr:row>
      <xdr:rowOff>36285</xdr:rowOff>
    </xdr:from>
    <xdr:ext cx="14754225" cy="7439025"/>
    <xdr:grpSp>
      <xdr:nvGrpSpPr>
        <xdr:cNvPr id="2" name="Shape 2">
          <a:extLst>
            <a:ext uri="{FF2B5EF4-FFF2-40B4-BE49-F238E27FC236}">
              <a16:creationId xmlns:a16="http://schemas.microsoft.com/office/drawing/2014/main" id="{978C0A28-DA1D-43AA-BD1A-9F1F06FDC923}"/>
            </a:ext>
          </a:extLst>
        </xdr:cNvPr>
        <xdr:cNvGrpSpPr/>
      </xdr:nvGrpSpPr>
      <xdr:grpSpPr>
        <a:xfrm>
          <a:off x="5015584" y="36285"/>
          <a:ext cx="14754225" cy="7439025"/>
          <a:chOff x="0" y="60488"/>
          <a:chExt cx="10692000" cy="7439025"/>
        </a:xfrm>
      </xdr:grpSpPr>
      <xdr:grpSp>
        <xdr:nvGrpSpPr>
          <xdr:cNvPr id="3" name="Shape 29">
            <a:extLst>
              <a:ext uri="{FF2B5EF4-FFF2-40B4-BE49-F238E27FC236}">
                <a16:creationId xmlns:a16="http://schemas.microsoft.com/office/drawing/2014/main" id="{47E6D380-5ACA-51EC-536A-1D0CF7181B36}"/>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AF244801-B4AE-B929-7C22-0A97F5AAD914}"/>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a:solidFill>
                  <a:schemeClr val="bg1"/>
                </a:solidFill>
              </a:endParaRPr>
            </a:p>
          </xdr:txBody>
        </xdr:sp>
        <xdr:sp macro="" textlink="">
          <xdr:nvSpPr>
            <xdr:cNvPr id="5" name="Shape 30">
              <a:extLst>
                <a:ext uri="{FF2B5EF4-FFF2-40B4-BE49-F238E27FC236}">
                  <a16:creationId xmlns:a16="http://schemas.microsoft.com/office/drawing/2014/main" id="{0640F97D-87AC-4FD1-8CBF-D9A725CF25F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bg1"/>
                  </a:solidFill>
                  <a:latin typeface="Calibri"/>
                  <a:ea typeface="Calibri"/>
                  <a:cs typeface="Calibri"/>
                  <a:sym typeface="Calibri"/>
                </a:rPr>
                <a:t>`</a:t>
              </a:r>
              <a:endParaRPr sz="1600">
                <a:solidFill>
                  <a:schemeClr val="bg1"/>
                </a:solidFill>
              </a:endParaRPr>
            </a:p>
          </xdr:txBody>
        </xdr:sp>
        <xdr:sp macro="" textlink="">
          <xdr:nvSpPr>
            <xdr:cNvPr id="6" name="Shape 31">
              <a:extLst>
                <a:ext uri="{FF2B5EF4-FFF2-40B4-BE49-F238E27FC236}">
                  <a16:creationId xmlns:a16="http://schemas.microsoft.com/office/drawing/2014/main" id="{219D38DE-E8E5-1F38-CA7E-3A9A084B5807}"/>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a:solidFill>
                  <a:schemeClr val="bg1"/>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17612AD0-FDAA-59BC-1159-904BF92D6DFE}"/>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sp macro="" textlink="">
          <xdr:nvSpPr>
            <xdr:cNvPr id="8" name="Shape 33">
              <a:extLst>
                <a:ext uri="{FF2B5EF4-FFF2-40B4-BE49-F238E27FC236}">
                  <a16:creationId xmlns:a16="http://schemas.microsoft.com/office/drawing/2014/main" id="{5996E018-95FF-83FE-E402-AEC6F9B5A763}"/>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grpSp>
          <xdr:nvGrpSpPr>
            <xdr:cNvPr id="9" name="Shape 34">
              <a:extLst>
                <a:ext uri="{FF2B5EF4-FFF2-40B4-BE49-F238E27FC236}">
                  <a16:creationId xmlns:a16="http://schemas.microsoft.com/office/drawing/2014/main" id="{FD6114A1-B913-70CD-E252-2CB46F944B38}"/>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9DA82949-535B-4163-3E78-6D17F32D43D1}"/>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sp macro="" textlink="">
            <xdr:nvSpPr>
              <xdr:cNvPr id="25" name="Shape 36">
                <a:extLst>
                  <a:ext uri="{FF2B5EF4-FFF2-40B4-BE49-F238E27FC236}">
                    <a16:creationId xmlns:a16="http://schemas.microsoft.com/office/drawing/2014/main" id="{97E36751-5EC5-A3BF-C2EF-E7F5DBBFB757}"/>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sp macro="" textlink="">
            <xdr:nvSpPr>
              <xdr:cNvPr id="26" name="Shape 37">
                <a:extLst>
                  <a:ext uri="{FF2B5EF4-FFF2-40B4-BE49-F238E27FC236}">
                    <a16:creationId xmlns:a16="http://schemas.microsoft.com/office/drawing/2014/main" id="{DE14694E-FFD6-F53A-3F47-405BAD33FFBF}"/>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sp macro="" textlink="">
            <xdr:nvSpPr>
              <xdr:cNvPr id="27" name="Shape 38">
                <a:extLst>
                  <a:ext uri="{FF2B5EF4-FFF2-40B4-BE49-F238E27FC236}">
                    <a16:creationId xmlns:a16="http://schemas.microsoft.com/office/drawing/2014/main" id="{092992B7-EF4C-6F9C-A585-8116FEE80BB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sp macro="" textlink="">
            <xdr:nvSpPr>
              <xdr:cNvPr id="28" name="Shape 39">
                <a:extLst>
                  <a:ext uri="{FF2B5EF4-FFF2-40B4-BE49-F238E27FC236}">
                    <a16:creationId xmlns:a16="http://schemas.microsoft.com/office/drawing/2014/main" id="{23B6FE55-FC88-A903-4F34-159E1ACF966A}"/>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grpSp>
        <xdr:grpSp>
          <xdr:nvGrpSpPr>
            <xdr:cNvPr id="10" name="Shape 40">
              <a:extLst>
                <a:ext uri="{FF2B5EF4-FFF2-40B4-BE49-F238E27FC236}">
                  <a16:creationId xmlns:a16="http://schemas.microsoft.com/office/drawing/2014/main" id="{CC50F476-DC3A-04D3-12EB-9382165A47B4}"/>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5D490F60-F869-04B7-A38D-8451AAFCA11A}"/>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23" name="Shape 42">
                <a:extLst>
                  <a:ext uri="{FF2B5EF4-FFF2-40B4-BE49-F238E27FC236}">
                    <a16:creationId xmlns:a16="http://schemas.microsoft.com/office/drawing/2014/main" id="{235E74A3-C7FE-976E-2665-6C03791BCC2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4046DC0F-B1CA-DEC9-E6F1-968A31B48189}"/>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0A3AE932-6AE2-FE4E-048C-24A3CC2C706A}"/>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13" name="Shape 45">
              <a:extLst>
                <a:ext uri="{FF2B5EF4-FFF2-40B4-BE49-F238E27FC236}">
                  <a16:creationId xmlns:a16="http://schemas.microsoft.com/office/drawing/2014/main" id="{CEBD4211-1C93-7F1D-9308-0F00607C36E7}"/>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95AB1123-7762-331B-432B-20E7C240BFFE}"/>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15" name="Shape 47">
              <a:extLst>
                <a:ext uri="{FF2B5EF4-FFF2-40B4-BE49-F238E27FC236}">
                  <a16:creationId xmlns:a16="http://schemas.microsoft.com/office/drawing/2014/main" id="{57F6EE95-F2A2-E87F-ADDC-6D065F25566F}"/>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0C5DB06F-4FF8-3978-4DB3-016237442828}"/>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17" name="Shape 49">
              <a:extLst>
                <a:ext uri="{FF2B5EF4-FFF2-40B4-BE49-F238E27FC236}">
                  <a16:creationId xmlns:a16="http://schemas.microsoft.com/office/drawing/2014/main" id="{2018F9CF-4495-F77B-BE48-7A927DA45E33}"/>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DD0300C9-3512-283F-5E31-6F5EF4146B32}"/>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19" name="Shape 51">
              <a:extLst>
                <a:ext uri="{FF2B5EF4-FFF2-40B4-BE49-F238E27FC236}">
                  <a16:creationId xmlns:a16="http://schemas.microsoft.com/office/drawing/2014/main" id="{76A0D622-7FAC-5262-B885-2DC65B52CB0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500780B-E9BC-D12E-EA66-EA3A2DB964DF}"/>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solidFill>
                  <a:schemeClr val="bg1"/>
                </a:solidFill>
              </a:endParaRPr>
            </a:p>
          </xdr:txBody>
        </xdr:sp>
        <xdr:cxnSp macro="">
          <xdr:nvCxnSpPr>
            <xdr:cNvPr id="21" name="Shape 53">
              <a:extLst>
                <a:ext uri="{FF2B5EF4-FFF2-40B4-BE49-F238E27FC236}">
                  <a16:creationId xmlns:a16="http://schemas.microsoft.com/office/drawing/2014/main" id="{52E497C3-4C3B-2752-477C-6E61788AEE6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4</xdr:col>
      <xdr:colOff>245391</xdr:colOff>
      <xdr:row>7</xdr:row>
      <xdr:rowOff>179865</xdr:rowOff>
    </xdr:from>
    <xdr:to>
      <xdr:col>5</xdr:col>
      <xdr:colOff>530212</xdr:colOff>
      <xdr:row>10</xdr:row>
      <xdr:rowOff>4260</xdr:rowOff>
    </xdr:to>
    <xdr:sp macro="" textlink="KPI!C12">
      <xdr:nvSpPr>
        <xdr:cNvPr id="29" name="TextBox 28">
          <a:extLst>
            <a:ext uri="{FF2B5EF4-FFF2-40B4-BE49-F238E27FC236}">
              <a16:creationId xmlns:a16="http://schemas.microsoft.com/office/drawing/2014/main" id="{DAB65F69-79F6-2F36-DB17-786859F961EB}"/>
            </a:ext>
          </a:extLst>
        </xdr:cNvPr>
        <xdr:cNvSpPr txBox="1"/>
      </xdr:nvSpPr>
      <xdr:spPr>
        <a:xfrm flipH="1">
          <a:off x="5377258" y="1449865"/>
          <a:ext cx="1791261" cy="368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951837-BB30-4A9C-8CC8-2E751A9AB15F}" type="TxLink">
            <a:rPr lang="en-US" sz="2000" b="1" i="0" u="none" strike="noStrike">
              <a:solidFill>
                <a:srgbClr val="000000"/>
              </a:solidFill>
              <a:latin typeface="Arial Rounded MT Bold" panose="020F0704030504030204" pitchFamily="34" charset="0"/>
              <a:ea typeface="Calibri"/>
              <a:cs typeface="Calibri"/>
            </a:rPr>
            <a:pPr algn="ctr"/>
            <a:t>1470</a:t>
          </a:fld>
          <a:endParaRPr lang="en-US" sz="2000" b="1">
            <a:latin typeface="Arial Rounded MT Bold" panose="020F0704030504030204" pitchFamily="34" charset="0"/>
          </a:endParaRPr>
        </a:p>
      </xdr:txBody>
    </xdr:sp>
    <xdr:clientData/>
  </xdr:twoCellAnchor>
  <xdr:twoCellAnchor>
    <xdr:from>
      <xdr:col>4</xdr:col>
      <xdr:colOff>143632</xdr:colOff>
      <xdr:row>5</xdr:row>
      <xdr:rowOff>136505</xdr:rowOff>
    </xdr:from>
    <xdr:to>
      <xdr:col>6</xdr:col>
      <xdr:colOff>157492</xdr:colOff>
      <xdr:row>7</xdr:row>
      <xdr:rowOff>162393</xdr:rowOff>
    </xdr:to>
    <xdr:sp macro="" textlink="">
      <xdr:nvSpPr>
        <xdr:cNvPr id="30" name="TextBox 29">
          <a:extLst>
            <a:ext uri="{FF2B5EF4-FFF2-40B4-BE49-F238E27FC236}">
              <a16:creationId xmlns:a16="http://schemas.microsoft.com/office/drawing/2014/main" id="{5BDDC288-B16B-1A82-9BF1-8B533FA90C66}"/>
            </a:ext>
          </a:extLst>
        </xdr:cNvPr>
        <xdr:cNvSpPr txBox="1"/>
      </xdr:nvSpPr>
      <xdr:spPr>
        <a:xfrm>
          <a:off x="5184052" y="1073390"/>
          <a:ext cx="2476113" cy="400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Total</a:t>
          </a:r>
          <a:r>
            <a:rPr lang="en-US" sz="1600" baseline="0">
              <a:solidFill>
                <a:srgbClr val="602928"/>
              </a:solidFill>
              <a:latin typeface="Arial Black" panose="020B0A04020102020204" pitchFamily="34" charset="0"/>
            </a:rPr>
            <a:t> Employees</a:t>
          </a:r>
          <a:endParaRPr lang="en-US" sz="1600">
            <a:solidFill>
              <a:srgbClr val="602928"/>
            </a:solidFill>
            <a:latin typeface="Arial Black" panose="020B0A04020102020204" pitchFamily="34" charset="0"/>
          </a:endParaRPr>
        </a:p>
      </xdr:txBody>
    </xdr:sp>
    <xdr:clientData/>
  </xdr:twoCellAnchor>
  <xdr:twoCellAnchor>
    <xdr:from>
      <xdr:col>6</xdr:col>
      <xdr:colOff>530191</xdr:colOff>
      <xdr:row>7</xdr:row>
      <xdr:rowOff>169502</xdr:rowOff>
    </xdr:from>
    <xdr:to>
      <xdr:col>8</xdr:col>
      <xdr:colOff>206550</xdr:colOff>
      <xdr:row>9</xdr:row>
      <xdr:rowOff>181273</xdr:rowOff>
    </xdr:to>
    <xdr:sp macro="" textlink="KPI!D12">
      <xdr:nvSpPr>
        <xdr:cNvPr id="49" name="TextBox 48">
          <a:extLst>
            <a:ext uri="{FF2B5EF4-FFF2-40B4-BE49-F238E27FC236}">
              <a16:creationId xmlns:a16="http://schemas.microsoft.com/office/drawing/2014/main" id="{FB6B5686-4984-4ECD-8B3E-0C9F11AEFFB5}"/>
            </a:ext>
          </a:extLst>
        </xdr:cNvPr>
        <xdr:cNvSpPr txBox="1"/>
      </xdr:nvSpPr>
      <xdr:spPr>
        <a:xfrm flipH="1">
          <a:off x="8405563" y="1481141"/>
          <a:ext cx="1801112" cy="386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B49FF8-0B5B-4848-A3DB-E5F0D4C874B3}" type="TxLink">
            <a:rPr lang="en-US" sz="2000" b="1" i="0" u="none" strike="noStrike">
              <a:solidFill>
                <a:srgbClr val="000000"/>
              </a:solidFill>
              <a:latin typeface="Arial Rounded MT Bold" panose="020F0704030504030204" pitchFamily="34" charset="0"/>
              <a:ea typeface="Calibri"/>
              <a:cs typeface="Calibri"/>
            </a:rPr>
            <a:pPr algn="ctr"/>
            <a:t>237</a:t>
          </a:fld>
          <a:endParaRPr lang="en-US" sz="2000" b="1">
            <a:latin typeface="Arial Rounded MT Bold" panose="020F0704030504030204" pitchFamily="34" charset="0"/>
          </a:endParaRPr>
        </a:p>
      </xdr:txBody>
    </xdr:sp>
    <xdr:clientData/>
  </xdr:twoCellAnchor>
  <xdr:twoCellAnchor>
    <xdr:from>
      <xdr:col>6</xdr:col>
      <xdr:colOff>433752</xdr:colOff>
      <xdr:row>5</xdr:row>
      <xdr:rowOff>140677</xdr:rowOff>
    </xdr:from>
    <xdr:to>
      <xdr:col>8</xdr:col>
      <xdr:colOff>410306</xdr:colOff>
      <xdr:row>8</xdr:row>
      <xdr:rowOff>46892</xdr:rowOff>
    </xdr:to>
    <xdr:sp macro="" textlink="">
      <xdr:nvSpPr>
        <xdr:cNvPr id="50" name="TextBox 49">
          <a:extLst>
            <a:ext uri="{FF2B5EF4-FFF2-40B4-BE49-F238E27FC236}">
              <a16:creationId xmlns:a16="http://schemas.microsoft.com/office/drawing/2014/main" id="{CCBA1CA0-6366-4919-8E84-1F2E75E72602}"/>
            </a:ext>
          </a:extLst>
        </xdr:cNvPr>
        <xdr:cNvSpPr txBox="1"/>
      </xdr:nvSpPr>
      <xdr:spPr>
        <a:xfrm>
          <a:off x="8182705" y="1078523"/>
          <a:ext cx="2391508"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Attrition</a:t>
          </a:r>
        </a:p>
        <a:p>
          <a:endParaRPr lang="en-US" sz="1600">
            <a:solidFill>
              <a:srgbClr val="602928"/>
            </a:solidFill>
            <a:latin typeface="Arial Black" panose="020B0A04020102020204" pitchFamily="34" charset="0"/>
          </a:endParaRPr>
        </a:p>
      </xdr:txBody>
    </xdr:sp>
    <xdr:clientData/>
  </xdr:twoCellAnchor>
  <xdr:twoCellAnchor>
    <xdr:from>
      <xdr:col>9</xdr:col>
      <xdr:colOff>132121</xdr:colOff>
      <xdr:row>7</xdr:row>
      <xdr:rowOff>177875</xdr:rowOff>
    </xdr:from>
    <xdr:to>
      <xdr:col>10</xdr:col>
      <xdr:colOff>418080</xdr:colOff>
      <xdr:row>10</xdr:row>
      <xdr:rowOff>2269</xdr:rowOff>
    </xdr:to>
    <xdr:sp macro="" textlink="KPI!F12">
      <xdr:nvSpPr>
        <xdr:cNvPr id="51" name="TextBox 50">
          <a:extLst>
            <a:ext uri="{FF2B5EF4-FFF2-40B4-BE49-F238E27FC236}">
              <a16:creationId xmlns:a16="http://schemas.microsoft.com/office/drawing/2014/main" id="{9D305E5E-2708-4046-9551-1980757AE030}"/>
            </a:ext>
          </a:extLst>
        </xdr:cNvPr>
        <xdr:cNvSpPr txBox="1"/>
      </xdr:nvSpPr>
      <xdr:spPr>
        <a:xfrm flipH="1">
          <a:off x="11282013" y="1489514"/>
          <a:ext cx="1796115" cy="386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1680FB-33AB-453B-87D3-D22BFF679934}" type="TxLink">
            <a:rPr lang="en-US" sz="2000" b="1" i="0" u="none" strike="noStrike">
              <a:solidFill>
                <a:srgbClr val="000000"/>
              </a:solidFill>
              <a:latin typeface="Arial Rounded MT Bold" panose="020F0704030504030204" pitchFamily="34" charset="0"/>
              <a:ea typeface="Calibri"/>
              <a:cs typeface="Calibri"/>
            </a:rPr>
            <a:pPr algn="ctr"/>
            <a:t>1233</a:t>
          </a:fld>
          <a:endParaRPr lang="en-US" sz="2000" b="1">
            <a:latin typeface="Arial Rounded MT Bold" panose="020F0704030504030204" pitchFamily="34" charset="0"/>
          </a:endParaRPr>
        </a:p>
      </xdr:txBody>
    </xdr:sp>
    <xdr:clientData/>
  </xdr:twoCellAnchor>
  <xdr:twoCellAnchor>
    <xdr:from>
      <xdr:col>9</xdr:col>
      <xdr:colOff>18738</xdr:colOff>
      <xdr:row>5</xdr:row>
      <xdr:rowOff>157675</xdr:rowOff>
    </xdr:from>
    <xdr:to>
      <xdr:col>10</xdr:col>
      <xdr:colOff>530902</xdr:colOff>
      <xdr:row>8</xdr:row>
      <xdr:rowOff>24983</xdr:rowOff>
    </xdr:to>
    <xdr:sp macro="" textlink="">
      <xdr:nvSpPr>
        <xdr:cNvPr id="52" name="TextBox 51">
          <a:extLst>
            <a:ext uri="{FF2B5EF4-FFF2-40B4-BE49-F238E27FC236}">
              <a16:creationId xmlns:a16="http://schemas.microsoft.com/office/drawing/2014/main" id="{0AA4C108-EB0A-49E0-A88C-0431373BB343}"/>
            </a:ext>
          </a:extLst>
        </xdr:cNvPr>
        <xdr:cNvSpPr txBox="1"/>
      </xdr:nvSpPr>
      <xdr:spPr>
        <a:xfrm>
          <a:off x="11055247" y="1094560"/>
          <a:ext cx="2248524" cy="42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Active</a:t>
          </a:r>
          <a:r>
            <a:rPr lang="en-US" sz="1600" baseline="0">
              <a:solidFill>
                <a:srgbClr val="602928"/>
              </a:solidFill>
              <a:latin typeface="Arial Black" panose="020B0A04020102020204" pitchFamily="34" charset="0"/>
            </a:rPr>
            <a:t> Employees</a:t>
          </a:r>
          <a:endParaRPr lang="en-US" sz="1600">
            <a:solidFill>
              <a:srgbClr val="602928"/>
            </a:solidFill>
            <a:latin typeface="Arial Black" panose="020B0A04020102020204" pitchFamily="34" charset="0"/>
          </a:endParaRPr>
        </a:p>
      </xdr:txBody>
    </xdr:sp>
    <xdr:clientData/>
  </xdr:twoCellAnchor>
  <xdr:twoCellAnchor>
    <xdr:from>
      <xdr:col>11</xdr:col>
      <xdr:colOff>294347</xdr:colOff>
      <xdr:row>7</xdr:row>
      <xdr:rowOff>165754</xdr:rowOff>
    </xdr:from>
    <xdr:to>
      <xdr:col>12</xdr:col>
      <xdr:colOff>582804</xdr:colOff>
      <xdr:row>9</xdr:row>
      <xdr:rowOff>177525</xdr:rowOff>
    </xdr:to>
    <xdr:sp macro="" textlink="KPI!G12">
      <xdr:nvSpPr>
        <xdr:cNvPr id="53" name="TextBox 52">
          <a:extLst>
            <a:ext uri="{FF2B5EF4-FFF2-40B4-BE49-F238E27FC236}">
              <a16:creationId xmlns:a16="http://schemas.microsoft.com/office/drawing/2014/main" id="{1653A4B6-8F2B-4A7C-9AC6-8E46B0AFC6CC}"/>
            </a:ext>
          </a:extLst>
        </xdr:cNvPr>
        <xdr:cNvSpPr txBox="1"/>
      </xdr:nvSpPr>
      <xdr:spPr>
        <a:xfrm flipH="1">
          <a:off x="14026504" y="1435754"/>
          <a:ext cx="1798533" cy="374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1C4707-35DC-4F1E-A804-E96486DDD089}" type="TxLink">
            <a:rPr lang="en-US" sz="2000" b="1" i="0" u="none" strike="noStrike">
              <a:solidFill>
                <a:srgbClr val="000000"/>
              </a:solidFill>
              <a:latin typeface="Arial Rounded MT Bold" panose="020F0704030504030204" pitchFamily="34" charset="0"/>
              <a:ea typeface="Calibri"/>
              <a:cs typeface="Calibri"/>
            </a:rPr>
            <a:pPr algn="ctr"/>
            <a:t>16.12%</a:t>
          </a:fld>
          <a:endParaRPr lang="en-US" sz="2000" b="1">
            <a:latin typeface="Arial Rounded MT Bold" panose="020F0704030504030204" pitchFamily="34" charset="0"/>
          </a:endParaRPr>
        </a:p>
      </xdr:txBody>
    </xdr:sp>
    <xdr:clientData/>
  </xdr:twoCellAnchor>
  <xdr:twoCellAnchor>
    <xdr:from>
      <xdr:col>11</xdr:col>
      <xdr:colOff>287311</xdr:colOff>
      <xdr:row>5</xdr:row>
      <xdr:rowOff>132692</xdr:rowOff>
    </xdr:from>
    <xdr:to>
      <xdr:col>13</xdr:col>
      <xdr:colOff>6246</xdr:colOff>
      <xdr:row>7</xdr:row>
      <xdr:rowOff>162393</xdr:rowOff>
    </xdr:to>
    <xdr:sp macro="" textlink="">
      <xdr:nvSpPr>
        <xdr:cNvPr id="54" name="TextBox 53">
          <a:extLst>
            <a:ext uri="{FF2B5EF4-FFF2-40B4-BE49-F238E27FC236}">
              <a16:creationId xmlns:a16="http://schemas.microsoft.com/office/drawing/2014/main" id="{BEE4C17A-D4F6-49E6-A28F-95AFD2AFAE6A}"/>
            </a:ext>
          </a:extLst>
        </xdr:cNvPr>
        <xdr:cNvSpPr txBox="1"/>
      </xdr:nvSpPr>
      <xdr:spPr>
        <a:xfrm>
          <a:off x="14040787" y="1069577"/>
          <a:ext cx="1886262" cy="40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Attrition</a:t>
          </a:r>
          <a:r>
            <a:rPr lang="en-US" sz="1600" baseline="0">
              <a:solidFill>
                <a:srgbClr val="602928"/>
              </a:solidFill>
              <a:latin typeface="Arial Black" panose="020B0A04020102020204" pitchFamily="34" charset="0"/>
            </a:rPr>
            <a:t> Rate</a:t>
          </a:r>
        </a:p>
        <a:p>
          <a:endParaRPr lang="en-US" sz="1600">
            <a:solidFill>
              <a:srgbClr val="602928"/>
            </a:solidFill>
            <a:latin typeface="Arial Black" panose="020B0A04020102020204" pitchFamily="34" charset="0"/>
          </a:endParaRPr>
        </a:p>
      </xdr:txBody>
    </xdr:sp>
    <xdr:clientData/>
  </xdr:twoCellAnchor>
  <xdr:twoCellAnchor>
    <xdr:from>
      <xdr:col>13</xdr:col>
      <xdr:colOff>544641</xdr:colOff>
      <xdr:row>7</xdr:row>
      <xdr:rowOff>164891</xdr:rowOff>
    </xdr:from>
    <xdr:to>
      <xdr:col>15</xdr:col>
      <xdr:colOff>190450</xdr:colOff>
      <xdr:row>10</xdr:row>
      <xdr:rowOff>24214</xdr:rowOff>
    </xdr:to>
    <xdr:sp macro="" textlink="KPI!E12">
      <xdr:nvSpPr>
        <xdr:cNvPr id="57" name="TextBox 56">
          <a:extLst>
            <a:ext uri="{FF2B5EF4-FFF2-40B4-BE49-F238E27FC236}">
              <a16:creationId xmlns:a16="http://schemas.microsoft.com/office/drawing/2014/main" id="{01687150-7FA0-4B6E-B244-DB9531DD4EC6}"/>
            </a:ext>
          </a:extLst>
        </xdr:cNvPr>
        <xdr:cNvSpPr txBox="1"/>
      </xdr:nvSpPr>
      <xdr:spPr>
        <a:xfrm flipH="1">
          <a:off x="16970330" y="1434891"/>
          <a:ext cx="1734856" cy="403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8890D9-BF22-425E-A2D7-A0D3B9AE5EB3}" type="TxLink">
            <a:rPr lang="en-US" sz="2000" b="1" i="0" u="none" strike="noStrike">
              <a:solidFill>
                <a:srgbClr val="000000"/>
              </a:solidFill>
              <a:latin typeface="Arial Rounded MT Bold" panose="020F0704030504030204" pitchFamily="34" charset="0"/>
              <a:ea typeface="Calibri"/>
              <a:cs typeface="Calibri"/>
            </a:rPr>
            <a:pPr algn="ctr"/>
            <a:t>37</a:t>
          </a:fld>
          <a:endParaRPr lang="en-US" sz="2000" b="1">
            <a:latin typeface="Arial Rounded MT Bold" panose="020F0704030504030204" pitchFamily="34" charset="0"/>
          </a:endParaRPr>
        </a:p>
      </xdr:txBody>
    </xdr:sp>
    <xdr:clientData/>
  </xdr:twoCellAnchor>
  <xdr:twoCellAnchor>
    <xdr:from>
      <xdr:col>13</xdr:col>
      <xdr:colOff>524458</xdr:colOff>
      <xdr:row>5</xdr:row>
      <xdr:rowOff>131575</xdr:rowOff>
    </xdr:from>
    <xdr:to>
      <xdr:col>15</xdr:col>
      <xdr:colOff>155949</xdr:colOff>
      <xdr:row>7</xdr:row>
      <xdr:rowOff>170127</xdr:rowOff>
    </xdr:to>
    <xdr:sp macro="" textlink="">
      <xdr:nvSpPr>
        <xdr:cNvPr id="58" name="TextBox 57">
          <a:extLst>
            <a:ext uri="{FF2B5EF4-FFF2-40B4-BE49-F238E27FC236}">
              <a16:creationId xmlns:a16="http://schemas.microsoft.com/office/drawing/2014/main" id="{8FE46971-2A57-4E04-B449-A10DA69878D2}"/>
            </a:ext>
          </a:extLst>
        </xdr:cNvPr>
        <xdr:cNvSpPr txBox="1"/>
      </xdr:nvSpPr>
      <xdr:spPr>
        <a:xfrm>
          <a:off x="16929964" y="1038718"/>
          <a:ext cx="1706220" cy="40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Average</a:t>
          </a:r>
          <a:r>
            <a:rPr lang="en-US" sz="1600" baseline="0">
              <a:solidFill>
                <a:srgbClr val="602928"/>
              </a:solidFill>
              <a:latin typeface="Arial Black" panose="020B0A04020102020204" pitchFamily="34" charset="0"/>
            </a:rPr>
            <a:t> Age</a:t>
          </a:r>
          <a:endParaRPr lang="en-US" sz="1600">
            <a:solidFill>
              <a:srgbClr val="602928"/>
            </a:solidFill>
            <a:latin typeface="Arial Black" panose="020B0A04020102020204" pitchFamily="34" charset="0"/>
          </a:endParaRPr>
        </a:p>
      </xdr:txBody>
    </xdr:sp>
    <xdr:clientData/>
  </xdr:twoCellAnchor>
  <xdr:twoCellAnchor editAs="oneCell">
    <xdr:from>
      <xdr:col>6</xdr:col>
      <xdr:colOff>68704</xdr:colOff>
      <xdr:row>5</xdr:row>
      <xdr:rowOff>174885</xdr:rowOff>
    </xdr:from>
    <xdr:to>
      <xdr:col>6</xdr:col>
      <xdr:colOff>293557</xdr:colOff>
      <xdr:row>8</xdr:row>
      <xdr:rowOff>37829</xdr:rowOff>
    </xdr:to>
    <xdr:pic>
      <xdr:nvPicPr>
        <xdr:cNvPr id="59" name="Picture 58">
          <a:extLst>
            <a:ext uri="{FF2B5EF4-FFF2-40B4-BE49-F238E27FC236}">
              <a16:creationId xmlns:a16="http://schemas.microsoft.com/office/drawing/2014/main" id="{E28A9FD9-5C47-E121-1912-653A0BD61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2589" y="1111770"/>
          <a:ext cx="449705" cy="425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64366</xdr:colOff>
      <xdr:row>6</xdr:row>
      <xdr:rowOff>1</xdr:rowOff>
    </xdr:from>
    <xdr:to>
      <xdr:col>8</xdr:col>
      <xdr:colOff>539572</xdr:colOff>
      <xdr:row>7</xdr:row>
      <xdr:rowOff>174886</xdr:rowOff>
    </xdr:to>
    <xdr:pic>
      <xdr:nvPicPr>
        <xdr:cNvPr id="60" name="Picture 59">
          <a:extLst>
            <a:ext uri="{FF2B5EF4-FFF2-40B4-BE49-F238E27FC236}">
              <a16:creationId xmlns:a16="http://schemas.microsoft.com/office/drawing/2014/main" id="{551032B1-DE27-E8FA-D830-BE5B0F18F0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1684" y="1088572"/>
          <a:ext cx="950412" cy="356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470829</xdr:colOff>
      <xdr:row>6</xdr:row>
      <xdr:rowOff>0</xdr:rowOff>
    </xdr:from>
    <xdr:to>
      <xdr:col>11</xdr:col>
      <xdr:colOff>199869</xdr:colOff>
      <xdr:row>8</xdr:row>
      <xdr:rowOff>-1</xdr:rowOff>
    </xdr:to>
    <xdr:pic>
      <xdr:nvPicPr>
        <xdr:cNvPr id="61" name="Picture 60">
          <a:extLst>
            <a:ext uri="{FF2B5EF4-FFF2-40B4-BE49-F238E27FC236}">
              <a16:creationId xmlns:a16="http://schemas.microsoft.com/office/drawing/2014/main" id="{08D74A59-362E-8BAB-2263-3F5763816CA6}"/>
            </a:ext>
          </a:extLst>
        </xdr:cNvPr>
        <xdr:cNvPicPr>
          <a:picLocks noChangeAspect="1"/>
        </xdr:cNvPicPr>
      </xdr:nvPicPr>
      <xdr:blipFill>
        <a:blip xmlns:r="http://schemas.openxmlformats.org/officeDocument/2006/relationships" r:embed="rId3"/>
        <a:stretch>
          <a:fillRect/>
        </a:stretch>
      </xdr:blipFill>
      <xdr:spPr>
        <a:xfrm>
          <a:off x="13157848" y="1088571"/>
          <a:ext cx="679700" cy="362857"/>
        </a:xfrm>
        <a:prstGeom prst="rect">
          <a:avLst/>
        </a:prstGeom>
      </xdr:spPr>
    </xdr:pic>
    <xdr:clientData/>
  </xdr:twoCellAnchor>
  <xdr:twoCellAnchor editAs="oneCell">
    <xdr:from>
      <xdr:col>12</xdr:col>
      <xdr:colOff>605852</xdr:colOff>
      <xdr:row>6</xdr:row>
      <xdr:rowOff>24191</xdr:rowOff>
    </xdr:from>
    <xdr:to>
      <xdr:col>13</xdr:col>
      <xdr:colOff>418475</xdr:colOff>
      <xdr:row>7</xdr:row>
      <xdr:rowOff>120952</xdr:rowOff>
    </xdr:to>
    <xdr:pic>
      <xdr:nvPicPr>
        <xdr:cNvPr id="62" name="Picture 61">
          <a:extLst>
            <a:ext uri="{FF2B5EF4-FFF2-40B4-BE49-F238E27FC236}">
              <a16:creationId xmlns:a16="http://schemas.microsoft.com/office/drawing/2014/main" id="{3B454088-A7D5-C032-4015-DA81553751C0}"/>
            </a:ext>
          </a:extLst>
        </xdr:cNvPr>
        <xdr:cNvPicPr>
          <a:picLocks noChangeAspect="1"/>
        </xdr:cNvPicPr>
      </xdr:nvPicPr>
      <xdr:blipFill>
        <a:blip xmlns:r="http://schemas.openxmlformats.org/officeDocument/2006/relationships" r:embed="rId4"/>
        <a:stretch>
          <a:fillRect/>
        </a:stretch>
      </xdr:blipFill>
      <xdr:spPr>
        <a:xfrm>
          <a:off x="15871133" y="1112762"/>
          <a:ext cx="846865" cy="278190"/>
        </a:xfrm>
        <a:prstGeom prst="rect">
          <a:avLst/>
        </a:prstGeom>
      </xdr:spPr>
    </xdr:pic>
    <xdr:clientData/>
  </xdr:twoCellAnchor>
  <xdr:twoCellAnchor editAs="oneCell">
    <xdr:from>
      <xdr:col>15</xdr:col>
      <xdr:colOff>193620</xdr:colOff>
      <xdr:row>6</xdr:row>
      <xdr:rowOff>12096</xdr:rowOff>
    </xdr:from>
    <xdr:to>
      <xdr:col>15</xdr:col>
      <xdr:colOff>574621</xdr:colOff>
      <xdr:row>7</xdr:row>
      <xdr:rowOff>174885</xdr:rowOff>
    </xdr:to>
    <xdr:pic>
      <xdr:nvPicPr>
        <xdr:cNvPr id="63" name="Picture 62">
          <a:extLst>
            <a:ext uri="{FF2B5EF4-FFF2-40B4-BE49-F238E27FC236}">
              <a16:creationId xmlns:a16="http://schemas.microsoft.com/office/drawing/2014/main" id="{D232A9B9-E38F-F7D7-A100-96A83E273B94}"/>
            </a:ext>
          </a:extLst>
        </xdr:cNvPr>
        <xdr:cNvPicPr>
          <a:picLocks noChangeAspect="1"/>
        </xdr:cNvPicPr>
      </xdr:nvPicPr>
      <xdr:blipFill>
        <a:blip xmlns:r="http://schemas.openxmlformats.org/officeDocument/2006/relationships" r:embed="rId5"/>
        <a:stretch>
          <a:fillRect/>
        </a:stretch>
      </xdr:blipFill>
      <xdr:spPr>
        <a:xfrm>
          <a:off x="18711526" y="1100667"/>
          <a:ext cx="762002" cy="344218"/>
        </a:xfrm>
        <a:prstGeom prst="rect">
          <a:avLst/>
        </a:prstGeom>
      </xdr:spPr>
    </xdr:pic>
    <xdr:clientData/>
  </xdr:twoCellAnchor>
  <xdr:twoCellAnchor>
    <xdr:from>
      <xdr:col>5</xdr:col>
      <xdr:colOff>12095</xdr:colOff>
      <xdr:row>0</xdr:row>
      <xdr:rowOff>169333</xdr:rowOff>
    </xdr:from>
    <xdr:to>
      <xdr:col>11</xdr:col>
      <xdr:colOff>78619</xdr:colOff>
      <xdr:row>5</xdr:row>
      <xdr:rowOff>36285</xdr:rowOff>
    </xdr:to>
    <xdr:sp macro="" textlink="">
      <xdr:nvSpPr>
        <xdr:cNvPr id="68" name="TextBox 67">
          <a:extLst>
            <a:ext uri="{FF2B5EF4-FFF2-40B4-BE49-F238E27FC236}">
              <a16:creationId xmlns:a16="http://schemas.microsoft.com/office/drawing/2014/main" id="{40FD9F4A-A3B5-ECC4-4BC4-E9D6F5A749B0}"/>
            </a:ext>
          </a:extLst>
        </xdr:cNvPr>
        <xdr:cNvSpPr txBox="1"/>
      </xdr:nvSpPr>
      <xdr:spPr>
        <a:xfrm>
          <a:off x="6132286" y="169333"/>
          <a:ext cx="7462762" cy="774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75000"/>
                </a:schemeClr>
              </a:solidFill>
              <a:latin typeface="Rockwell Extra Bold" panose="02060903040505020403" pitchFamily="18" charset="0"/>
              <a:ea typeface="Segoe UI Black" panose="020B0A02040204020203" pitchFamily="34" charset="0"/>
            </a:rPr>
            <a:t>   HR ANALYTICS</a:t>
          </a:r>
          <a:r>
            <a:rPr lang="en-US" sz="3200" b="1" baseline="0">
              <a:solidFill>
                <a:schemeClr val="accent1">
                  <a:lumMod val="75000"/>
                </a:schemeClr>
              </a:solidFill>
              <a:latin typeface="Rockwell Extra Bold" panose="02060903040505020403" pitchFamily="18" charset="0"/>
              <a:ea typeface="Segoe UI Black" panose="020B0A02040204020203" pitchFamily="34" charset="0"/>
            </a:rPr>
            <a:t> DASHBOARD</a:t>
          </a:r>
          <a:endParaRPr lang="en-US" sz="3200" b="1">
            <a:solidFill>
              <a:schemeClr val="accent1">
                <a:lumMod val="75000"/>
              </a:schemeClr>
            </a:solidFill>
            <a:latin typeface="Rockwell Extra Bold" panose="02060903040505020403" pitchFamily="18" charset="0"/>
            <a:ea typeface="Segoe UI Black" panose="020B0A02040204020203" pitchFamily="34" charset="0"/>
          </a:endParaRPr>
        </a:p>
      </xdr:txBody>
    </xdr:sp>
    <xdr:clientData/>
  </xdr:twoCellAnchor>
  <xdr:twoCellAnchor editAs="oneCell">
    <xdr:from>
      <xdr:col>4</xdr:col>
      <xdr:colOff>181947</xdr:colOff>
      <xdr:row>1</xdr:row>
      <xdr:rowOff>30095</xdr:rowOff>
    </xdr:from>
    <xdr:to>
      <xdr:col>4</xdr:col>
      <xdr:colOff>592667</xdr:colOff>
      <xdr:row>4</xdr:row>
      <xdr:rowOff>173557</xdr:rowOff>
    </xdr:to>
    <xdr:pic>
      <xdr:nvPicPr>
        <xdr:cNvPr id="69" name="Picture 68">
          <a:extLst>
            <a:ext uri="{FF2B5EF4-FFF2-40B4-BE49-F238E27FC236}">
              <a16:creationId xmlns:a16="http://schemas.microsoft.com/office/drawing/2014/main" id="{D669A2B0-E0B6-E2A8-4CBF-1CF32EF9CC01}"/>
            </a:ext>
          </a:extLst>
        </xdr:cNvPr>
        <xdr:cNvPicPr>
          <a:picLocks noChangeAspect="1"/>
        </xdr:cNvPicPr>
      </xdr:nvPicPr>
      <xdr:blipFill>
        <a:blip xmlns:r="http://schemas.openxmlformats.org/officeDocument/2006/relationships" r:embed="rId6"/>
        <a:stretch>
          <a:fillRect/>
        </a:stretch>
      </xdr:blipFill>
      <xdr:spPr>
        <a:xfrm>
          <a:off x="5250370" y="211524"/>
          <a:ext cx="821440" cy="687747"/>
        </a:xfrm>
        <a:prstGeom prst="rect">
          <a:avLst/>
        </a:prstGeom>
      </xdr:spPr>
    </xdr:pic>
    <xdr:clientData/>
  </xdr:twoCellAnchor>
  <xdr:twoCellAnchor editAs="oneCell">
    <xdr:from>
      <xdr:col>11</xdr:col>
      <xdr:colOff>145854</xdr:colOff>
      <xdr:row>1</xdr:row>
      <xdr:rowOff>33441</xdr:rowOff>
    </xdr:from>
    <xdr:to>
      <xdr:col>11</xdr:col>
      <xdr:colOff>560294</xdr:colOff>
      <xdr:row>5</xdr:row>
      <xdr:rowOff>14941</xdr:rowOff>
    </xdr:to>
    <xdr:pic>
      <xdr:nvPicPr>
        <xdr:cNvPr id="31" name="Picture 30">
          <a:extLst>
            <a:ext uri="{FF2B5EF4-FFF2-40B4-BE49-F238E27FC236}">
              <a16:creationId xmlns:a16="http://schemas.microsoft.com/office/drawing/2014/main" id="{18CB1E88-D486-B0E4-222C-0F626460A2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68649" y="212735"/>
          <a:ext cx="828880" cy="698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521517</xdr:colOff>
      <xdr:row>0</xdr:row>
      <xdr:rowOff>151545</xdr:rowOff>
    </xdr:from>
    <xdr:to>
      <xdr:col>13</xdr:col>
      <xdr:colOff>5691</xdr:colOff>
      <xdr:row>4</xdr:row>
      <xdr:rowOff>161508</xdr:rowOff>
    </xdr:to>
    <xdr:sp macro="" textlink="">
      <xdr:nvSpPr>
        <xdr:cNvPr id="32" name="TextBox 31">
          <a:extLst>
            <a:ext uri="{FF2B5EF4-FFF2-40B4-BE49-F238E27FC236}">
              <a16:creationId xmlns:a16="http://schemas.microsoft.com/office/drawing/2014/main" id="{CB5B2358-31E3-25ED-CDD1-45980ACD0E4E}"/>
            </a:ext>
          </a:extLst>
        </xdr:cNvPr>
        <xdr:cNvSpPr txBox="1"/>
      </xdr:nvSpPr>
      <xdr:spPr>
        <a:xfrm>
          <a:off x="14519975" y="151545"/>
          <a:ext cx="1418702" cy="727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602928"/>
              </a:solidFill>
              <a:latin typeface="Arial Black" panose="020B0A04020102020204" pitchFamily="34" charset="0"/>
            </a:rPr>
            <a:t>JOB </a:t>
          </a:r>
        </a:p>
        <a:p>
          <a:pPr algn="ctr"/>
          <a:r>
            <a:rPr lang="en-US" sz="1100">
              <a:solidFill>
                <a:srgbClr val="602928"/>
              </a:solidFill>
              <a:latin typeface="Arial Black" panose="020B0A04020102020204" pitchFamily="34" charset="0"/>
            </a:rPr>
            <a:t>SATISFACTION</a:t>
          </a:r>
        </a:p>
        <a:p>
          <a:pPr algn="ctr"/>
          <a:r>
            <a:rPr lang="en-US" sz="1100">
              <a:solidFill>
                <a:srgbClr val="602928"/>
              </a:solidFill>
              <a:latin typeface="Arial Black" panose="020B0A04020102020204" pitchFamily="34" charset="0"/>
            </a:rPr>
            <a:t>RATING</a:t>
          </a:r>
        </a:p>
        <a:p>
          <a:endParaRPr lang="en-US" sz="1100"/>
        </a:p>
      </xdr:txBody>
    </xdr:sp>
    <xdr:clientData/>
  </xdr:twoCellAnchor>
  <xdr:twoCellAnchor>
    <xdr:from>
      <xdr:col>12</xdr:col>
      <xdr:colOff>369969</xdr:colOff>
      <xdr:row>0</xdr:row>
      <xdr:rowOff>42687</xdr:rowOff>
    </xdr:from>
    <xdr:to>
      <xdr:col>13</xdr:col>
      <xdr:colOff>565273</xdr:colOff>
      <xdr:row>5</xdr:row>
      <xdr:rowOff>54784</xdr:rowOff>
    </xdr:to>
    <xdr:graphicFrame macro="">
      <xdr:nvGraphicFramePr>
        <xdr:cNvPr id="33" name="Chart 32">
          <a:extLst>
            <a:ext uri="{FF2B5EF4-FFF2-40B4-BE49-F238E27FC236}">
              <a16:creationId xmlns:a16="http://schemas.microsoft.com/office/drawing/2014/main" id="{4918A9B8-BC5C-41BF-B68F-0D9F0D804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318032</xdr:colOff>
      <xdr:row>0</xdr:row>
      <xdr:rowOff>1</xdr:rowOff>
    </xdr:from>
    <xdr:to>
      <xdr:col>16</xdr:col>
      <xdr:colOff>30238</xdr:colOff>
      <xdr:row>5</xdr:row>
      <xdr:rowOff>0</xdr:rowOff>
    </xdr:to>
    <xdr:graphicFrame macro="">
      <xdr:nvGraphicFramePr>
        <xdr:cNvPr id="35" name="Chart 34">
          <a:extLst>
            <a:ext uri="{FF2B5EF4-FFF2-40B4-BE49-F238E27FC236}">
              <a16:creationId xmlns:a16="http://schemas.microsoft.com/office/drawing/2014/main" id="{3455E988-310C-441E-AAF2-7EDB4F92D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383845</xdr:colOff>
      <xdr:row>0</xdr:row>
      <xdr:rowOff>133048</xdr:rowOff>
    </xdr:from>
    <xdr:to>
      <xdr:col>16</xdr:col>
      <xdr:colOff>66523</xdr:colOff>
      <xdr:row>4</xdr:row>
      <xdr:rowOff>96762</xdr:rowOff>
    </xdr:to>
    <xdr:sp macro="" textlink="">
      <xdr:nvSpPr>
        <xdr:cNvPr id="80" name="Freeform: Shape 79">
          <a:extLst>
            <a:ext uri="{FF2B5EF4-FFF2-40B4-BE49-F238E27FC236}">
              <a16:creationId xmlns:a16="http://schemas.microsoft.com/office/drawing/2014/main" id="{9F0B7401-27A3-FA53-DBA9-ABE0E5C0C31A}"/>
            </a:ext>
          </a:extLst>
        </xdr:cNvPr>
        <xdr:cNvSpPr/>
      </xdr:nvSpPr>
      <xdr:spPr>
        <a:xfrm>
          <a:off x="16648738" y="133048"/>
          <a:ext cx="3030213" cy="689428"/>
        </a:xfrm>
        <a:custGeom>
          <a:avLst/>
          <a:gdLst>
            <a:gd name="csX0" fmla="*/ 826347 w 2194560"/>
            <a:gd name="csY0" fmla="*/ 91440 h 538480"/>
            <a:gd name="csX1" fmla="*/ 773582 w 2194560"/>
            <a:gd name="csY1" fmla="*/ 215625 h 538480"/>
            <a:gd name="csX2" fmla="*/ 602827 w 2194560"/>
            <a:gd name="csY2" fmla="*/ 215624 h 538480"/>
            <a:gd name="csX3" fmla="*/ 740971 w 2194560"/>
            <a:gd name="csY3" fmla="*/ 292374 h 538480"/>
            <a:gd name="csX4" fmla="*/ 688204 w 2194560"/>
            <a:gd name="csY4" fmla="*/ 416559 h 538480"/>
            <a:gd name="csX5" fmla="*/ 826347 w 2194560"/>
            <a:gd name="csY5" fmla="*/ 339808 h 538480"/>
            <a:gd name="csX6" fmla="*/ 964490 w 2194560"/>
            <a:gd name="csY6" fmla="*/ 416559 h 538480"/>
            <a:gd name="csX7" fmla="*/ 911723 w 2194560"/>
            <a:gd name="csY7" fmla="*/ 292374 h 538480"/>
            <a:gd name="csX8" fmla="*/ 1049867 w 2194560"/>
            <a:gd name="csY8" fmla="*/ 215624 h 538480"/>
            <a:gd name="csX9" fmla="*/ 879112 w 2194560"/>
            <a:gd name="csY9" fmla="*/ 215625 h 538480"/>
            <a:gd name="csX10" fmla="*/ 304800 w 2194560"/>
            <a:gd name="csY10" fmla="*/ 91440 h 538480"/>
            <a:gd name="csX11" fmla="*/ 252035 w 2194560"/>
            <a:gd name="csY11" fmla="*/ 215625 h 538480"/>
            <a:gd name="csX12" fmla="*/ 81280 w 2194560"/>
            <a:gd name="csY12" fmla="*/ 215624 h 538480"/>
            <a:gd name="csX13" fmla="*/ 219424 w 2194560"/>
            <a:gd name="csY13" fmla="*/ 292374 h 538480"/>
            <a:gd name="csX14" fmla="*/ 166657 w 2194560"/>
            <a:gd name="csY14" fmla="*/ 416559 h 538480"/>
            <a:gd name="csX15" fmla="*/ 304800 w 2194560"/>
            <a:gd name="csY15" fmla="*/ 339808 h 538480"/>
            <a:gd name="csX16" fmla="*/ 442943 w 2194560"/>
            <a:gd name="csY16" fmla="*/ 416559 h 538480"/>
            <a:gd name="csX17" fmla="*/ 390176 w 2194560"/>
            <a:gd name="csY17" fmla="*/ 292374 h 538480"/>
            <a:gd name="csX18" fmla="*/ 528320 w 2194560"/>
            <a:gd name="csY18" fmla="*/ 215624 h 538480"/>
            <a:gd name="csX19" fmla="*/ 357565 w 2194560"/>
            <a:gd name="csY19" fmla="*/ 215625 h 538480"/>
            <a:gd name="csX20" fmla="*/ 1347894 w 2194560"/>
            <a:gd name="csY20" fmla="*/ 81280 h 538480"/>
            <a:gd name="csX21" fmla="*/ 1295129 w 2194560"/>
            <a:gd name="csY21" fmla="*/ 205465 h 538480"/>
            <a:gd name="csX22" fmla="*/ 1124374 w 2194560"/>
            <a:gd name="csY22" fmla="*/ 205464 h 538480"/>
            <a:gd name="csX23" fmla="*/ 1262518 w 2194560"/>
            <a:gd name="csY23" fmla="*/ 282214 h 538480"/>
            <a:gd name="csX24" fmla="*/ 1209751 w 2194560"/>
            <a:gd name="csY24" fmla="*/ 406399 h 538480"/>
            <a:gd name="csX25" fmla="*/ 1347894 w 2194560"/>
            <a:gd name="csY25" fmla="*/ 329648 h 538480"/>
            <a:gd name="csX26" fmla="*/ 1486037 w 2194560"/>
            <a:gd name="csY26" fmla="*/ 406399 h 538480"/>
            <a:gd name="csX27" fmla="*/ 1433270 w 2194560"/>
            <a:gd name="csY27" fmla="*/ 282214 h 538480"/>
            <a:gd name="csX28" fmla="*/ 1571414 w 2194560"/>
            <a:gd name="csY28" fmla="*/ 205464 h 538480"/>
            <a:gd name="csX29" fmla="*/ 1400659 w 2194560"/>
            <a:gd name="csY29" fmla="*/ 205465 h 538480"/>
            <a:gd name="csX30" fmla="*/ 1869440 w 2194560"/>
            <a:gd name="csY30" fmla="*/ 71120 h 538480"/>
            <a:gd name="csX31" fmla="*/ 1816675 w 2194560"/>
            <a:gd name="csY31" fmla="*/ 195305 h 538480"/>
            <a:gd name="csX32" fmla="*/ 1645920 w 2194560"/>
            <a:gd name="csY32" fmla="*/ 195304 h 538480"/>
            <a:gd name="csX33" fmla="*/ 1784064 w 2194560"/>
            <a:gd name="csY33" fmla="*/ 272054 h 538480"/>
            <a:gd name="csX34" fmla="*/ 1731297 w 2194560"/>
            <a:gd name="csY34" fmla="*/ 396239 h 538480"/>
            <a:gd name="csX35" fmla="*/ 1869440 w 2194560"/>
            <a:gd name="csY35" fmla="*/ 319488 h 538480"/>
            <a:gd name="csX36" fmla="*/ 2007583 w 2194560"/>
            <a:gd name="csY36" fmla="*/ 396239 h 538480"/>
            <a:gd name="csX37" fmla="*/ 1954816 w 2194560"/>
            <a:gd name="csY37" fmla="*/ 272054 h 538480"/>
            <a:gd name="csX38" fmla="*/ 2092960 w 2194560"/>
            <a:gd name="csY38" fmla="*/ 195304 h 538480"/>
            <a:gd name="csX39" fmla="*/ 1922205 w 2194560"/>
            <a:gd name="csY39" fmla="*/ 195305 h 538480"/>
            <a:gd name="csX40" fmla="*/ 0 w 2194560"/>
            <a:gd name="csY40" fmla="*/ 0 h 538480"/>
            <a:gd name="csX41" fmla="*/ 2194560 w 2194560"/>
            <a:gd name="csY41" fmla="*/ 0 h 538480"/>
            <a:gd name="csX42" fmla="*/ 2194560 w 2194560"/>
            <a:gd name="csY42" fmla="*/ 538480 h 538480"/>
            <a:gd name="csX43" fmla="*/ 0 w 2194560"/>
            <a:gd name="csY43" fmla="*/ 538480 h 538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194560" h="538480">
              <a:moveTo>
                <a:pt x="826347" y="91440"/>
              </a:moveTo>
              <a:lnTo>
                <a:pt x="773582" y="215625"/>
              </a:lnTo>
              <a:lnTo>
                <a:pt x="602827" y="215624"/>
              </a:lnTo>
              <a:lnTo>
                <a:pt x="740971" y="292374"/>
              </a:lnTo>
              <a:lnTo>
                <a:pt x="688204" y="416559"/>
              </a:lnTo>
              <a:lnTo>
                <a:pt x="826347" y="339808"/>
              </a:lnTo>
              <a:lnTo>
                <a:pt x="964490" y="416559"/>
              </a:lnTo>
              <a:lnTo>
                <a:pt x="911723" y="292374"/>
              </a:lnTo>
              <a:lnTo>
                <a:pt x="1049867" y="215624"/>
              </a:lnTo>
              <a:lnTo>
                <a:pt x="879112" y="215625"/>
              </a:lnTo>
              <a:close/>
              <a:moveTo>
                <a:pt x="304800" y="91440"/>
              </a:moveTo>
              <a:lnTo>
                <a:pt x="252035" y="215625"/>
              </a:lnTo>
              <a:lnTo>
                <a:pt x="81280" y="215624"/>
              </a:lnTo>
              <a:lnTo>
                <a:pt x="219424" y="292374"/>
              </a:lnTo>
              <a:lnTo>
                <a:pt x="166657" y="416559"/>
              </a:lnTo>
              <a:lnTo>
                <a:pt x="304800" y="339808"/>
              </a:lnTo>
              <a:lnTo>
                <a:pt x="442943" y="416559"/>
              </a:lnTo>
              <a:lnTo>
                <a:pt x="390176" y="292374"/>
              </a:lnTo>
              <a:lnTo>
                <a:pt x="528320" y="215624"/>
              </a:lnTo>
              <a:lnTo>
                <a:pt x="357565" y="215625"/>
              </a:lnTo>
              <a:close/>
              <a:moveTo>
                <a:pt x="1347894" y="81280"/>
              </a:moveTo>
              <a:lnTo>
                <a:pt x="1295129" y="205465"/>
              </a:lnTo>
              <a:lnTo>
                <a:pt x="1124374" y="205464"/>
              </a:lnTo>
              <a:lnTo>
                <a:pt x="1262518" y="282214"/>
              </a:lnTo>
              <a:lnTo>
                <a:pt x="1209751" y="406399"/>
              </a:lnTo>
              <a:lnTo>
                <a:pt x="1347894" y="329648"/>
              </a:lnTo>
              <a:lnTo>
                <a:pt x="1486037" y="406399"/>
              </a:lnTo>
              <a:lnTo>
                <a:pt x="1433270" y="282214"/>
              </a:lnTo>
              <a:lnTo>
                <a:pt x="1571414" y="205464"/>
              </a:lnTo>
              <a:lnTo>
                <a:pt x="1400659" y="205465"/>
              </a:lnTo>
              <a:close/>
              <a:moveTo>
                <a:pt x="1869440" y="71120"/>
              </a:moveTo>
              <a:lnTo>
                <a:pt x="1816675" y="195305"/>
              </a:lnTo>
              <a:lnTo>
                <a:pt x="1645920" y="195304"/>
              </a:lnTo>
              <a:lnTo>
                <a:pt x="1784064" y="272054"/>
              </a:lnTo>
              <a:lnTo>
                <a:pt x="1731297" y="396239"/>
              </a:lnTo>
              <a:lnTo>
                <a:pt x="1869440" y="319488"/>
              </a:lnTo>
              <a:lnTo>
                <a:pt x="2007583" y="396239"/>
              </a:lnTo>
              <a:lnTo>
                <a:pt x="1954816" y="272054"/>
              </a:lnTo>
              <a:lnTo>
                <a:pt x="2092960" y="195304"/>
              </a:lnTo>
              <a:lnTo>
                <a:pt x="1922205" y="195305"/>
              </a:lnTo>
              <a:close/>
              <a:moveTo>
                <a:pt x="0" y="0"/>
              </a:moveTo>
              <a:lnTo>
                <a:pt x="2194560" y="0"/>
              </a:lnTo>
              <a:lnTo>
                <a:pt x="2194560" y="538480"/>
              </a:lnTo>
              <a:lnTo>
                <a:pt x="0" y="53848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84665</xdr:colOff>
      <xdr:row>16</xdr:row>
      <xdr:rowOff>108857</xdr:rowOff>
    </xdr:from>
    <xdr:to>
      <xdr:col>7</xdr:col>
      <xdr:colOff>441475</xdr:colOff>
      <xdr:row>26</xdr:row>
      <xdr:rowOff>60475</xdr:rowOff>
    </xdr:to>
    <xdr:grpSp>
      <xdr:nvGrpSpPr>
        <xdr:cNvPr id="92" name="Group 91">
          <a:extLst>
            <a:ext uri="{FF2B5EF4-FFF2-40B4-BE49-F238E27FC236}">
              <a16:creationId xmlns:a16="http://schemas.microsoft.com/office/drawing/2014/main" id="{AEA77900-4E75-12AC-18F0-A6B38883315D}"/>
            </a:ext>
          </a:extLst>
        </xdr:cNvPr>
        <xdr:cNvGrpSpPr/>
      </xdr:nvGrpSpPr>
      <xdr:grpSpPr>
        <a:xfrm>
          <a:off x="5055806" y="3011714"/>
          <a:ext cx="4378477" cy="1765904"/>
          <a:chOff x="5128382" y="3060096"/>
          <a:chExt cx="4378477" cy="1765904"/>
        </a:xfrm>
      </xdr:grpSpPr>
      <xdr:graphicFrame macro="">
        <xdr:nvGraphicFramePr>
          <xdr:cNvPr id="83" name="Chart 82">
            <a:extLst>
              <a:ext uri="{FF2B5EF4-FFF2-40B4-BE49-F238E27FC236}">
                <a16:creationId xmlns:a16="http://schemas.microsoft.com/office/drawing/2014/main" id="{A1BC3DE5-E599-4617-A648-2A3E86892C7E}"/>
              </a:ext>
            </a:extLst>
          </xdr:cNvPr>
          <xdr:cNvGraphicFramePr>
            <a:graphicFrameLocks/>
          </xdr:cNvGraphicFramePr>
        </xdr:nvGraphicFramePr>
        <xdr:xfrm>
          <a:off x="5128382" y="3084286"/>
          <a:ext cx="1596572" cy="171752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4" name="Chart 83">
            <a:extLst>
              <a:ext uri="{FF2B5EF4-FFF2-40B4-BE49-F238E27FC236}">
                <a16:creationId xmlns:a16="http://schemas.microsoft.com/office/drawing/2014/main" id="{C534BC5A-2155-4FA7-BDDF-B781AE8EE4D2}"/>
              </a:ext>
            </a:extLst>
          </xdr:cNvPr>
          <xdr:cNvGraphicFramePr>
            <a:graphicFrameLocks/>
          </xdr:cNvGraphicFramePr>
        </xdr:nvGraphicFramePr>
        <xdr:xfrm>
          <a:off x="7874002" y="3060096"/>
          <a:ext cx="1632857" cy="1765904"/>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86" name="Graphic 85" descr="Male profile with solid fill">
            <a:extLst>
              <a:ext uri="{FF2B5EF4-FFF2-40B4-BE49-F238E27FC236}">
                <a16:creationId xmlns:a16="http://schemas.microsoft.com/office/drawing/2014/main" id="{AC263DBD-F68A-75EA-F04E-F15F1B8B634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269239" y="3489487"/>
            <a:ext cx="798283" cy="798284"/>
          </a:xfrm>
          <a:prstGeom prst="rect">
            <a:avLst/>
          </a:prstGeom>
        </xdr:spPr>
      </xdr:pic>
      <xdr:pic>
        <xdr:nvPicPr>
          <xdr:cNvPr id="88" name="Graphic 87" descr="Female Profile with solid fill">
            <a:extLst>
              <a:ext uri="{FF2B5EF4-FFF2-40B4-BE49-F238E27FC236}">
                <a16:creationId xmlns:a16="http://schemas.microsoft.com/office/drawing/2014/main" id="{568689DB-6885-721F-AFA0-8B9D8ED7C1C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55618" y="3501572"/>
            <a:ext cx="774114" cy="774115"/>
          </a:xfrm>
          <a:prstGeom prst="rect">
            <a:avLst/>
          </a:prstGeom>
        </xdr:spPr>
      </xdr:pic>
      <xdr:sp macro="" textlink="Gender!$B$10">
        <xdr:nvSpPr>
          <xdr:cNvPr id="89" name="TextBox 88">
            <a:extLst>
              <a:ext uri="{FF2B5EF4-FFF2-40B4-BE49-F238E27FC236}">
                <a16:creationId xmlns:a16="http://schemas.microsoft.com/office/drawing/2014/main" id="{791BEBC5-CBFF-68F8-85E4-AC673511DBEC}"/>
              </a:ext>
            </a:extLst>
          </xdr:cNvPr>
          <xdr:cNvSpPr txBox="1"/>
        </xdr:nvSpPr>
        <xdr:spPr>
          <a:xfrm>
            <a:off x="5551712" y="3773714"/>
            <a:ext cx="665239"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9CB789-2D99-4603-913A-29DA2AE5433C}" type="TxLink">
              <a:rPr lang="en-US" sz="1600" b="1" i="0" u="none" strike="noStrike">
                <a:solidFill>
                  <a:srgbClr val="000000"/>
                </a:solidFill>
                <a:latin typeface="Arial Black" panose="020B0A04020102020204" pitchFamily="34" charset="0"/>
                <a:ea typeface="Calibri"/>
                <a:cs typeface="Calibri"/>
              </a:rPr>
              <a:pPr algn="ctr"/>
              <a:t>588</a:t>
            </a:fld>
            <a:endParaRPr lang="en-US" sz="1600" b="1">
              <a:latin typeface="Arial Black" panose="020B0A04020102020204" pitchFamily="34" charset="0"/>
            </a:endParaRPr>
          </a:p>
        </xdr:txBody>
      </xdr:sp>
      <xdr:sp macro="" textlink="Gender!$B$11">
        <xdr:nvSpPr>
          <xdr:cNvPr id="90" name="TextBox 89">
            <a:extLst>
              <a:ext uri="{FF2B5EF4-FFF2-40B4-BE49-F238E27FC236}">
                <a16:creationId xmlns:a16="http://schemas.microsoft.com/office/drawing/2014/main" id="{0214F23D-1000-44B6-9E09-1023BE98E3D5}"/>
              </a:ext>
            </a:extLst>
          </xdr:cNvPr>
          <xdr:cNvSpPr txBox="1"/>
        </xdr:nvSpPr>
        <xdr:spPr>
          <a:xfrm>
            <a:off x="8341773" y="3761618"/>
            <a:ext cx="665237"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4A5E77-F78B-4133-A33D-40B84F4C1E41}" type="TxLink">
              <a:rPr lang="en-US" sz="1600" b="1" i="0" u="none" strike="noStrike">
                <a:solidFill>
                  <a:srgbClr val="000000"/>
                </a:solidFill>
                <a:latin typeface="Arial Black" panose="020B0A04020102020204" pitchFamily="34" charset="0"/>
                <a:ea typeface="Calibri"/>
                <a:cs typeface="Calibri"/>
              </a:rPr>
              <a:t>882</a:t>
            </a:fld>
            <a:endParaRPr lang="en-US" sz="1600" b="1">
              <a:latin typeface="Arial Black" panose="020B0A04020102020204" pitchFamily="34" charset="0"/>
            </a:endParaRPr>
          </a:p>
        </xdr:txBody>
      </xdr:sp>
    </xdr:grpSp>
    <xdr:clientData/>
  </xdr:twoCellAnchor>
  <xdr:twoCellAnchor>
    <xdr:from>
      <xdr:col>4</xdr:col>
      <xdr:colOff>181429</xdr:colOff>
      <xdr:row>11</xdr:row>
      <xdr:rowOff>60477</xdr:rowOff>
    </xdr:from>
    <xdr:to>
      <xdr:col>7</xdr:col>
      <xdr:colOff>151191</xdr:colOff>
      <xdr:row>13</xdr:row>
      <xdr:rowOff>24192</xdr:rowOff>
    </xdr:to>
    <xdr:sp macro="" textlink="">
      <xdr:nvSpPr>
        <xdr:cNvPr id="93" name="TextBox 92">
          <a:extLst>
            <a:ext uri="{FF2B5EF4-FFF2-40B4-BE49-F238E27FC236}">
              <a16:creationId xmlns:a16="http://schemas.microsoft.com/office/drawing/2014/main" id="{C9C942AC-CE34-5CA7-4A21-543A46CB0BAF}"/>
            </a:ext>
          </a:extLst>
        </xdr:cNvPr>
        <xdr:cNvSpPr txBox="1"/>
      </xdr:nvSpPr>
      <xdr:spPr>
        <a:xfrm>
          <a:off x="5249334" y="2056191"/>
          <a:ext cx="360438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602928"/>
              </a:solidFill>
              <a:latin typeface="Arial Black" panose="020B0A04020102020204" pitchFamily="34" charset="0"/>
            </a:rPr>
            <a:t>Total Employees by Gender</a:t>
          </a:r>
        </a:p>
      </xdr:txBody>
    </xdr:sp>
    <xdr:clientData/>
  </xdr:twoCellAnchor>
  <xdr:twoCellAnchor editAs="oneCell">
    <xdr:from>
      <xdr:col>4</xdr:col>
      <xdr:colOff>574524</xdr:colOff>
      <xdr:row>13</xdr:row>
      <xdr:rowOff>133048</xdr:rowOff>
    </xdr:from>
    <xdr:to>
      <xdr:col>7</xdr:col>
      <xdr:colOff>54428</xdr:colOff>
      <xdr:row>17</xdr:row>
      <xdr:rowOff>84666</xdr:rowOff>
    </xdr:to>
    <mc:AlternateContent xmlns:mc="http://schemas.openxmlformats.org/markup-compatibility/2006">
      <mc:Choice xmlns:a14="http://schemas.microsoft.com/office/drawing/2010/main" Requires="a14">
        <xdr:graphicFrame macro="">
          <xdr:nvGraphicFramePr>
            <xdr:cNvPr id="94" name="Gender 2">
              <a:extLst>
                <a:ext uri="{FF2B5EF4-FFF2-40B4-BE49-F238E27FC236}">
                  <a16:creationId xmlns:a16="http://schemas.microsoft.com/office/drawing/2014/main" id="{E4BB8296-8541-49FB-A063-6AC71151391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6035524" y="2491619"/>
              <a:ext cx="2624665" cy="67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506030</xdr:colOff>
      <xdr:row>13</xdr:row>
      <xdr:rowOff>108857</xdr:rowOff>
    </xdr:from>
    <xdr:to>
      <xdr:col>12</xdr:col>
      <xdr:colOff>48380</xdr:colOff>
      <xdr:row>25</xdr:row>
      <xdr:rowOff>169334</xdr:rowOff>
    </xdr:to>
    <xdr:graphicFrame macro="">
      <xdr:nvGraphicFramePr>
        <xdr:cNvPr id="95" name="Chart 94">
          <a:extLst>
            <a:ext uri="{FF2B5EF4-FFF2-40B4-BE49-F238E27FC236}">
              <a16:creationId xmlns:a16="http://schemas.microsoft.com/office/drawing/2014/main" id="{16360D57-DF7E-463A-8F1B-B0DB8ACBB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604762</xdr:colOff>
      <xdr:row>11</xdr:row>
      <xdr:rowOff>60478</xdr:rowOff>
    </xdr:from>
    <xdr:to>
      <xdr:col>11</xdr:col>
      <xdr:colOff>235857</xdr:colOff>
      <xdr:row>13</xdr:row>
      <xdr:rowOff>36287</xdr:rowOff>
    </xdr:to>
    <xdr:sp macro="" textlink="">
      <xdr:nvSpPr>
        <xdr:cNvPr id="99" name="TextBox 98">
          <a:extLst>
            <a:ext uri="{FF2B5EF4-FFF2-40B4-BE49-F238E27FC236}">
              <a16:creationId xmlns:a16="http://schemas.microsoft.com/office/drawing/2014/main" id="{70695924-A6D2-F82D-CCF3-116DE936C3B3}"/>
            </a:ext>
          </a:extLst>
        </xdr:cNvPr>
        <xdr:cNvSpPr txBox="1"/>
      </xdr:nvSpPr>
      <xdr:spPr>
        <a:xfrm>
          <a:off x="9760857" y="2056192"/>
          <a:ext cx="4148667"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Arial Black" panose="020B0A04020102020204" pitchFamily="34" charset="0"/>
            </a:rPr>
            <a:t>Education</a:t>
          </a:r>
          <a:r>
            <a:rPr lang="en-US" sz="1400" baseline="0">
              <a:solidFill>
                <a:srgbClr val="602928"/>
              </a:solidFill>
              <a:latin typeface="Arial Black" panose="020B0A04020102020204" pitchFamily="34" charset="0"/>
            </a:rPr>
            <a:t> by Attrition</a:t>
          </a:r>
          <a:endParaRPr lang="en-US" sz="1400">
            <a:solidFill>
              <a:srgbClr val="602928"/>
            </a:solidFill>
            <a:latin typeface="Arial Black" panose="020B0A04020102020204" pitchFamily="34" charset="0"/>
          </a:endParaRPr>
        </a:p>
      </xdr:txBody>
    </xdr:sp>
    <xdr:clientData/>
  </xdr:twoCellAnchor>
  <xdr:twoCellAnchor>
    <xdr:from>
      <xdr:col>12</xdr:col>
      <xdr:colOff>108857</xdr:colOff>
      <xdr:row>13</xdr:row>
      <xdr:rowOff>24192</xdr:rowOff>
    </xdr:from>
    <xdr:to>
      <xdr:col>16</xdr:col>
      <xdr:colOff>90714</xdr:colOff>
      <xdr:row>25</xdr:row>
      <xdr:rowOff>145143</xdr:rowOff>
    </xdr:to>
    <mc:AlternateContent xmlns:mc="http://schemas.openxmlformats.org/markup-compatibility/2006">
      <mc:Choice xmlns:cx1="http://schemas.microsoft.com/office/drawing/2015/9/8/chartex" Requires="cx1">
        <xdr:graphicFrame macro="">
          <xdr:nvGraphicFramePr>
            <xdr:cNvPr id="100" name="Chart 99">
              <a:extLst>
                <a:ext uri="{FF2B5EF4-FFF2-40B4-BE49-F238E27FC236}">
                  <a16:creationId xmlns:a16="http://schemas.microsoft.com/office/drawing/2014/main" id="{CBDD4077-BF77-4709-872B-78E1566B11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877143" y="2382763"/>
              <a:ext cx="4850190" cy="22980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139095</xdr:colOff>
      <xdr:row>11</xdr:row>
      <xdr:rowOff>84667</xdr:rowOff>
    </xdr:from>
    <xdr:to>
      <xdr:col>16</xdr:col>
      <xdr:colOff>48381</xdr:colOff>
      <xdr:row>13</xdr:row>
      <xdr:rowOff>72572</xdr:rowOff>
    </xdr:to>
    <xdr:sp macro="" textlink="">
      <xdr:nvSpPr>
        <xdr:cNvPr id="102" name="TextBox 101">
          <a:extLst>
            <a:ext uri="{FF2B5EF4-FFF2-40B4-BE49-F238E27FC236}">
              <a16:creationId xmlns:a16="http://schemas.microsoft.com/office/drawing/2014/main" id="{930F569B-922C-22B2-E582-863E27259B63}"/>
            </a:ext>
          </a:extLst>
        </xdr:cNvPr>
        <xdr:cNvSpPr txBox="1"/>
      </xdr:nvSpPr>
      <xdr:spPr>
        <a:xfrm>
          <a:off x="14937619" y="2080381"/>
          <a:ext cx="4705048"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Arial Black" panose="020B0A04020102020204" pitchFamily="34" charset="0"/>
            </a:rPr>
            <a:t>Attrition by</a:t>
          </a:r>
          <a:r>
            <a:rPr lang="en-US" sz="1400" baseline="0">
              <a:solidFill>
                <a:srgbClr val="602928"/>
              </a:solidFill>
              <a:latin typeface="Arial Black" panose="020B0A04020102020204" pitchFamily="34" charset="0"/>
            </a:rPr>
            <a:t> Job</a:t>
          </a:r>
          <a:endParaRPr lang="en-US" sz="1400">
            <a:solidFill>
              <a:srgbClr val="602928"/>
            </a:solidFill>
            <a:latin typeface="Arial Black" panose="020B0A04020102020204" pitchFamily="34" charset="0"/>
          </a:endParaRPr>
        </a:p>
      </xdr:txBody>
    </xdr:sp>
    <xdr:clientData/>
  </xdr:twoCellAnchor>
  <xdr:twoCellAnchor>
    <xdr:from>
      <xdr:col>4</xdr:col>
      <xdr:colOff>108857</xdr:colOff>
      <xdr:row>28</xdr:row>
      <xdr:rowOff>72572</xdr:rowOff>
    </xdr:from>
    <xdr:to>
      <xdr:col>7</xdr:col>
      <xdr:colOff>374952</xdr:colOff>
      <xdr:row>40</xdr:row>
      <xdr:rowOff>145143</xdr:rowOff>
    </xdr:to>
    <xdr:graphicFrame macro="">
      <xdr:nvGraphicFramePr>
        <xdr:cNvPr id="103" name="Chart 102">
          <a:extLst>
            <a:ext uri="{FF2B5EF4-FFF2-40B4-BE49-F238E27FC236}">
              <a16:creationId xmlns:a16="http://schemas.microsoft.com/office/drawing/2014/main" id="{A9AF988B-8AC9-496C-BC28-AFC59954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145143</xdr:colOff>
      <xdr:row>26</xdr:row>
      <xdr:rowOff>108858</xdr:rowOff>
    </xdr:from>
    <xdr:to>
      <xdr:col>7</xdr:col>
      <xdr:colOff>314476</xdr:colOff>
      <xdr:row>28</xdr:row>
      <xdr:rowOff>60477</xdr:rowOff>
    </xdr:to>
    <xdr:sp macro="" textlink="">
      <xdr:nvSpPr>
        <xdr:cNvPr id="104" name="TextBox 103">
          <a:extLst>
            <a:ext uri="{FF2B5EF4-FFF2-40B4-BE49-F238E27FC236}">
              <a16:creationId xmlns:a16="http://schemas.microsoft.com/office/drawing/2014/main" id="{0FDA6C6B-697D-FA11-9AD6-6565A622228F}"/>
            </a:ext>
          </a:extLst>
        </xdr:cNvPr>
        <xdr:cNvSpPr txBox="1"/>
      </xdr:nvSpPr>
      <xdr:spPr>
        <a:xfrm>
          <a:off x="5176762" y="4826001"/>
          <a:ext cx="4003523" cy="314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Arial Black" panose="020B0A04020102020204" pitchFamily="34" charset="0"/>
            </a:rPr>
            <a:t>Department wise Attrition</a:t>
          </a:r>
        </a:p>
      </xdr:txBody>
    </xdr:sp>
    <xdr:clientData/>
  </xdr:twoCellAnchor>
  <xdr:twoCellAnchor>
    <xdr:from>
      <xdr:col>7</xdr:col>
      <xdr:colOff>451601</xdr:colOff>
      <xdr:row>28</xdr:row>
      <xdr:rowOff>96763</xdr:rowOff>
    </xdr:from>
    <xdr:to>
      <xdr:col>10</xdr:col>
      <xdr:colOff>574524</xdr:colOff>
      <xdr:row>40</xdr:row>
      <xdr:rowOff>145144</xdr:rowOff>
    </xdr:to>
    <xdr:graphicFrame macro="">
      <xdr:nvGraphicFramePr>
        <xdr:cNvPr id="105" name="Chart 104">
          <a:extLst>
            <a:ext uri="{FF2B5EF4-FFF2-40B4-BE49-F238E27FC236}">
              <a16:creationId xmlns:a16="http://schemas.microsoft.com/office/drawing/2014/main" id="{1D799731-7D22-4598-9B02-FB5B35D33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501952</xdr:colOff>
      <xdr:row>26</xdr:row>
      <xdr:rowOff>96762</xdr:rowOff>
    </xdr:from>
    <xdr:to>
      <xdr:col>10</xdr:col>
      <xdr:colOff>471714</xdr:colOff>
      <xdr:row>28</xdr:row>
      <xdr:rowOff>72570</xdr:rowOff>
    </xdr:to>
    <xdr:sp macro="" textlink="">
      <xdr:nvSpPr>
        <xdr:cNvPr id="107" name="TextBox 106">
          <a:extLst>
            <a:ext uri="{FF2B5EF4-FFF2-40B4-BE49-F238E27FC236}">
              <a16:creationId xmlns:a16="http://schemas.microsoft.com/office/drawing/2014/main" id="{FDFE311D-C90D-58D2-C882-F07FBF79AC50}"/>
            </a:ext>
          </a:extLst>
        </xdr:cNvPr>
        <xdr:cNvSpPr txBox="1"/>
      </xdr:nvSpPr>
      <xdr:spPr>
        <a:xfrm>
          <a:off x="9555237" y="4813905"/>
          <a:ext cx="3604382" cy="33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Arial Black" panose="020B0A04020102020204" pitchFamily="34" charset="0"/>
            </a:rPr>
            <a:t>Attrition</a:t>
          </a:r>
          <a:r>
            <a:rPr lang="en-US" sz="1400" baseline="0">
              <a:solidFill>
                <a:srgbClr val="602928"/>
              </a:solidFill>
              <a:latin typeface="Arial Black" panose="020B0A04020102020204" pitchFamily="34" charset="0"/>
            </a:rPr>
            <a:t> by Age Group</a:t>
          </a:r>
          <a:endParaRPr lang="en-US" sz="1400">
            <a:solidFill>
              <a:srgbClr val="602928"/>
            </a:solidFill>
            <a:latin typeface="Arial Black" panose="020B0A04020102020204" pitchFamily="34" charset="0"/>
          </a:endParaRPr>
        </a:p>
      </xdr:txBody>
    </xdr:sp>
    <xdr:clientData/>
  </xdr:twoCellAnchor>
  <xdr:twoCellAnchor>
    <xdr:from>
      <xdr:col>11</xdr:col>
      <xdr:colOff>24190</xdr:colOff>
      <xdr:row>27</xdr:row>
      <xdr:rowOff>145143</xdr:rowOff>
    </xdr:from>
    <xdr:to>
      <xdr:col>13</xdr:col>
      <xdr:colOff>326571</xdr:colOff>
      <xdr:row>40</xdr:row>
      <xdr:rowOff>133047</xdr:rowOff>
    </xdr:to>
    <mc:AlternateContent xmlns:mc="http://schemas.openxmlformats.org/markup-compatibility/2006">
      <mc:Choice xmlns:cx2="http://schemas.microsoft.com/office/drawing/2015/10/21/chartex" Requires="cx2">
        <xdr:graphicFrame macro="">
          <xdr:nvGraphicFramePr>
            <xdr:cNvPr id="108" name="Chart 107">
              <a:extLst>
                <a:ext uri="{FF2B5EF4-FFF2-40B4-BE49-F238E27FC236}">
                  <a16:creationId xmlns:a16="http://schemas.microsoft.com/office/drawing/2014/main" id="{CC0A22AB-A287-4C44-B169-5A89ED160E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3486190" y="5043714"/>
              <a:ext cx="3048000" cy="23464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84666</xdr:colOff>
      <xdr:row>26</xdr:row>
      <xdr:rowOff>96763</xdr:rowOff>
    </xdr:from>
    <xdr:to>
      <xdr:col>13</xdr:col>
      <xdr:colOff>326570</xdr:colOff>
      <xdr:row>28</xdr:row>
      <xdr:rowOff>60476</xdr:rowOff>
    </xdr:to>
    <xdr:sp macro="" textlink="">
      <xdr:nvSpPr>
        <xdr:cNvPr id="109" name="TextBox 108">
          <a:extLst>
            <a:ext uri="{FF2B5EF4-FFF2-40B4-BE49-F238E27FC236}">
              <a16:creationId xmlns:a16="http://schemas.microsoft.com/office/drawing/2014/main" id="{DF387E1F-AA65-CD87-5DF9-9EB819436A6A}"/>
            </a:ext>
          </a:extLst>
        </xdr:cNvPr>
        <xdr:cNvSpPr txBox="1"/>
      </xdr:nvSpPr>
      <xdr:spPr>
        <a:xfrm>
          <a:off x="13607142" y="4813906"/>
          <a:ext cx="2927047"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602928"/>
              </a:solidFill>
              <a:latin typeface="Arial Black" panose="020B0A04020102020204" pitchFamily="34" charset="0"/>
            </a:rPr>
            <a:t>Attrition by Martial Status</a:t>
          </a:r>
        </a:p>
      </xdr:txBody>
    </xdr:sp>
    <xdr:clientData/>
  </xdr:twoCellAnchor>
  <xdr:twoCellAnchor editAs="oneCell">
    <xdr:from>
      <xdr:col>15</xdr:col>
      <xdr:colOff>18143</xdr:colOff>
      <xdr:row>28</xdr:row>
      <xdr:rowOff>108858</xdr:rowOff>
    </xdr:from>
    <xdr:to>
      <xdr:col>16</xdr:col>
      <xdr:colOff>42332</xdr:colOff>
      <xdr:row>40</xdr:row>
      <xdr:rowOff>133047</xdr:rowOff>
    </xdr:to>
    <mc:AlternateContent xmlns:mc="http://schemas.openxmlformats.org/markup-compatibility/2006">
      <mc:Choice xmlns:a14="http://schemas.microsoft.com/office/drawing/2010/main" Requires="a14">
        <xdr:graphicFrame macro="">
          <xdr:nvGraphicFramePr>
            <xdr:cNvPr id="110" name="Department 1">
              <a:extLst>
                <a:ext uri="{FF2B5EF4-FFF2-40B4-BE49-F238E27FC236}">
                  <a16:creationId xmlns:a16="http://schemas.microsoft.com/office/drawing/2014/main" id="{49724540-6BC1-4271-BE76-5382E0D09E2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8360572" y="5188858"/>
              <a:ext cx="1269997" cy="2201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417285</xdr:colOff>
      <xdr:row>28</xdr:row>
      <xdr:rowOff>120952</xdr:rowOff>
    </xdr:from>
    <xdr:to>
      <xdr:col>15</xdr:col>
      <xdr:colOff>0</xdr:colOff>
      <xdr:row>40</xdr:row>
      <xdr:rowOff>120953</xdr:rowOff>
    </xdr:to>
    <mc:AlternateContent xmlns:mc="http://schemas.openxmlformats.org/markup-compatibility/2006">
      <mc:Choice xmlns:a14="http://schemas.microsoft.com/office/drawing/2010/main" Requires="a14">
        <xdr:graphicFrame macro="">
          <xdr:nvGraphicFramePr>
            <xdr:cNvPr id="111" name="Education Field 3">
              <a:extLst>
                <a:ext uri="{FF2B5EF4-FFF2-40B4-BE49-F238E27FC236}">
                  <a16:creationId xmlns:a16="http://schemas.microsoft.com/office/drawing/2014/main" id="{717BECAF-B45F-4328-AFA9-2372D7D37C6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6715618" y="5200952"/>
              <a:ext cx="1608668" cy="2177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435427</xdr:colOff>
      <xdr:row>26</xdr:row>
      <xdr:rowOff>72571</xdr:rowOff>
    </xdr:from>
    <xdr:to>
      <xdr:col>15</xdr:col>
      <xdr:colOff>592666</xdr:colOff>
      <xdr:row>28</xdr:row>
      <xdr:rowOff>36285</xdr:rowOff>
    </xdr:to>
    <xdr:sp macro="" textlink="">
      <xdr:nvSpPr>
        <xdr:cNvPr id="113" name="TextBox 112">
          <a:extLst>
            <a:ext uri="{FF2B5EF4-FFF2-40B4-BE49-F238E27FC236}">
              <a16:creationId xmlns:a16="http://schemas.microsoft.com/office/drawing/2014/main" id="{E5BE24FA-FDD7-9D15-4FAC-6F57148CAD29}"/>
            </a:ext>
          </a:extLst>
        </xdr:cNvPr>
        <xdr:cNvSpPr txBox="1"/>
      </xdr:nvSpPr>
      <xdr:spPr>
        <a:xfrm>
          <a:off x="16751903" y="4789714"/>
          <a:ext cx="2757715"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602928"/>
              </a:solidFill>
              <a:latin typeface="Arial Black" panose="020B0A04020102020204" pitchFamily="34" charset="0"/>
            </a:rPr>
            <a:t>Slicer Fields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0.37063</cdr:x>
      <cdr:y>0.34111</cdr:y>
    </cdr:from>
    <cdr:to>
      <cdr:x>0.63636</cdr:x>
      <cdr:y>0.64283</cdr:y>
    </cdr:to>
    <cdr:sp macro="" textlink="Rating!$B$7">
      <cdr:nvSpPr>
        <cdr:cNvPr id="2" name="TextBox 1">
          <a:extLst xmlns:a="http://schemas.openxmlformats.org/drawingml/2006/main">
            <a:ext uri="{FF2B5EF4-FFF2-40B4-BE49-F238E27FC236}">
              <a16:creationId xmlns:a16="http://schemas.microsoft.com/office/drawing/2014/main" id="{CD4447F5-0AD4-7B59-F2EF-4C1534AA47CC}"/>
            </a:ext>
          </a:extLst>
        </cdr:cNvPr>
        <cdr:cNvSpPr txBox="1"/>
      </cdr:nvSpPr>
      <cdr:spPr>
        <a:xfrm xmlns:a="http://schemas.openxmlformats.org/drawingml/2006/main">
          <a:off x="726223" y="313563"/>
          <a:ext cx="520687" cy="27735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62DE69C6-F0F0-41A9-949C-768D02D94EFE}" type="TxLink">
            <a:rPr lang="en-US" sz="1100" b="0" i="0" u="none" strike="noStrike" kern="1200">
              <a:solidFill>
                <a:schemeClr val="accent5">
                  <a:lumMod val="75000"/>
                </a:schemeClr>
              </a:solidFill>
              <a:latin typeface="Arial Black" panose="020B0A04020102020204" pitchFamily="34" charset="0"/>
              <a:ea typeface="Calibri"/>
              <a:cs typeface="Calibri"/>
            </a:rPr>
            <a:pPr algn="ctr"/>
            <a:t>2.6</a:t>
          </a:fld>
          <a:endParaRPr lang="en-US" sz="1100" kern="1200">
            <a:solidFill>
              <a:schemeClr val="accent5">
                <a:lumMod val="75000"/>
              </a:schemeClr>
            </a:solidFill>
            <a:latin typeface="Arial Black" panose="020B0A04020102020204" pitchFamily="34" charset="0"/>
          </a:endParaRPr>
        </a:p>
      </cdr:txBody>
    </cdr:sp>
  </cdr:relSizeAnchor>
  <cdr:relSizeAnchor xmlns:cdr="http://schemas.openxmlformats.org/drawingml/2006/chartDrawing">
    <cdr:from>
      <cdr:x>0</cdr:x>
      <cdr:y>0.68512</cdr:y>
    </cdr:from>
    <cdr:to>
      <cdr:x>0.26573</cdr:x>
      <cdr:y>0.98684</cdr:y>
    </cdr:to>
    <cdr:sp macro="" textlink="">
      <cdr:nvSpPr>
        <cdr:cNvPr id="3" name="TextBox 1">
          <a:extLst xmlns:a="http://schemas.openxmlformats.org/drawingml/2006/main">
            <a:ext uri="{FF2B5EF4-FFF2-40B4-BE49-F238E27FC236}">
              <a16:creationId xmlns:a16="http://schemas.microsoft.com/office/drawing/2014/main" id="{8F2EE666-9F22-84DC-9E2A-838DFACEBD3E}"/>
            </a:ext>
          </a:extLst>
        </cdr:cNvPr>
        <cdr:cNvSpPr txBox="1"/>
      </cdr:nvSpPr>
      <cdr:spPr>
        <a:xfrm xmlns:a="http://schemas.openxmlformats.org/drawingml/2006/main">
          <a:off x="0" y="629792"/>
          <a:ext cx="428424" cy="27735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1100" kern="1200">
            <a:solidFill>
              <a:schemeClr val="accent5">
                <a:lumMod val="75000"/>
              </a:schemeClr>
            </a:solidFill>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 nan" refreshedDate="46143.553440393516" createdVersion="8" refreshedVersion="8" minRefreshableVersion="3" recordCount="1470" xr:uid="{7779B4B7-08AD-4825-AEA2-D95E4E29E669}">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06828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61095-55A2-403B-8AC3-1D5D0ED4209D}" name="Rating"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2C5C0-BCA3-469E-B14D-C920B48019B4}" name="Gender"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4EE85-3C0A-433E-B894-23621BFD2158}" name="Education by Attri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283A54-0482-4A6B-9A18-ECCE2D489973}" name="Attrition by Job"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6894F5-288A-4C1C-B86E-956ED83D3315}" name="Department wise Attri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058EED-0A22-44FB-917F-EAB9F5D10FBD}" name="Attrition by Age Grou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BF1CC6-81AF-4FDB-9AC8-949820E44784}" name="Martial Statu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138FE0-F0AF-4517-8243-DB33CCBCD9B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E7"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24C615-DF51-43A3-9EAA-7F7865877EF5}"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6789B69-0804-4EE2-9CF7-F8F1C2850B28}" sourceName="Gender">
  <pivotTables>
    <pivotTable tabId="5" name="Gender"/>
    <pivotTable tabId="10" name="Attrition by Age Group"/>
    <pivotTable tabId="7" name="Attrition by Job"/>
    <pivotTable tabId="8" name="Department wise Attrition"/>
    <pivotTable tabId="6" name="Education by Attrition"/>
    <pivotTable tabId="1" name="PivotTable1"/>
    <pivotTable tabId="11" name="Martial Status"/>
    <pivotTable tabId="4" name="Rating"/>
  </pivotTables>
  <data>
    <tabular pivotCacheId="9068288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D550CE4-A875-4E27-BF01-0617B9B4B7F1}" sourceName="Department">
  <pivotTables>
    <pivotTable tabId="10" name="Attrition by Age Group"/>
    <pivotTable tabId="7" name="Attrition by Job"/>
    <pivotTable tabId="8" name="Department wise Attrition"/>
    <pivotTable tabId="6" name="Education by Attrition"/>
    <pivotTable tabId="5" name="Gender"/>
    <pivotTable tabId="1" name="PivotTable1"/>
    <pivotTable tabId="11" name="Martial Status"/>
    <pivotTable tabId="4" name="Rating"/>
  </pivotTables>
  <data>
    <tabular pivotCacheId="9068288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90C84C9-7A01-4268-84FA-8ABCD4ACB1EC}" sourceName="Education Field">
  <pivotTables>
    <pivotTable tabId="10" name="Attrition by Age Group"/>
    <pivotTable tabId="7" name="Attrition by Job"/>
    <pivotTable tabId="8" name="Department wise Attrition"/>
    <pivotTable tabId="6" name="Education by Attrition"/>
    <pivotTable tabId="5" name="Gender"/>
    <pivotTable tabId="1" name="PivotTable1"/>
    <pivotTable tabId="11" name="Martial Status"/>
    <pivotTable tabId="4" name="Rating"/>
  </pivotTables>
  <data>
    <tabular pivotCacheId="90682886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E18F2D3-C774-48B1-943A-F38E2E8D9551}" cache="Slicer_Gender1" caption="Gender" style="SlicerStyleLight1" rowHeight="234950"/>
  <slicer name="Education Field" xr10:uid="{323C6C31-011A-40D7-AD91-5986874D9FF5}" cache="Slicer_Education_Field2" caption="Education Field"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1A1E046-29D0-4722-8754-DD7BBE268658}" cache="Slicer_Gender1" caption="Gender" style="SlicerStyleLight1" rowHeight="234950"/>
  <slicer name="Education Field 1" xr10:uid="{DFF47062-5BC2-4E03-AB24-4EE3069A5155}" cache="Slicer_Education_Field2" caption="Education Field"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6335553-7FE3-428C-9007-814B5CC25DF3}" cache="Slicer_Department" caption="Department" style="SlicerStyleLight1" rowHeight="234950"/>
  <slicer name="Education Field 2" xr10:uid="{70F7DAC0-EE8A-41F5-A685-CF290AA61C9A}" cache="Slicer_Education_Field2" caption="Education Field" style="SlicerStyleLight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B2192F1-7C8A-40FF-8B7A-16EE38ABD041}" cache="Slicer_Gender1" caption="Gender" columnCount="2" style="SlicerStyleDark5" rowHeight="234950"/>
  <slicer name="Department 1" xr10:uid="{50BE3690-BBDA-422A-85F1-CD0A13E071DC}" cache="Slicer_Department" caption="Department" style="SlicerStyleLight4" rowHeight="234950"/>
  <slicer name="Education Field 3" xr10:uid="{418A2E98-1084-4FA1-B8F1-64FA974630AE}" cache="Slicer_Education_Field2" caption="Education Field"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9ACEEA-7A5E-406A-BBB3-72575E3417C8}" name="Table_1" displayName="Table_1" ref="A1:AR1471" tableType="queryTable" totalsRowShown="0">
  <autoFilter ref="A1:AR1471" xr:uid="{8F9ACEEA-7A5E-406A-BBB3-72575E3417C8}"/>
  <tableColumns count="44">
    <tableColumn id="1" xr3:uid="{0A9DAB5B-ED78-44DC-A688-82F18FCBFB61}" uniqueName="1" name="Attrition" queryTableFieldId="1" dataDxfId="32"/>
    <tableColumn id="2" xr3:uid="{C447D858-69E1-4EA0-9DEE-626842AA770D}" uniqueName="2" name="Business Travel" queryTableFieldId="2" dataDxfId="31"/>
    <tableColumn id="3" xr3:uid="{C1C1D911-C835-450E-A4FC-0929C4094964}" uniqueName="3" name="CF_age band" queryTableFieldId="3" dataDxfId="30"/>
    <tableColumn id="4" xr3:uid="{E8739DE2-6AEF-4352-BB73-C1E1C235A9E9}" uniqueName="4" name="CF_attrition label" queryTableFieldId="4" dataDxfId="29"/>
    <tableColumn id="5" xr3:uid="{1C93D09C-36E2-43D6-B84F-A82598A7E8DF}" uniqueName="5" name="Department" queryTableFieldId="5" dataDxfId="28"/>
    <tableColumn id="6" xr3:uid="{1B303F63-6351-4416-834C-1EA84F5C29B3}" uniqueName="6" name="Education Field" queryTableFieldId="6" dataDxfId="27"/>
    <tableColumn id="7" xr3:uid="{2BE32FB0-FF01-4457-A1C6-57F89F4FAEFF}" uniqueName="7" name="emp no" queryTableFieldId="7" dataDxfId="26"/>
    <tableColumn id="8" xr3:uid="{EA269D0D-6D8E-42E9-BACF-990C35EDB3A1}" uniqueName="8" name="Employee Number" queryTableFieldId="8"/>
    <tableColumn id="9" xr3:uid="{6CAAC03E-01B0-4989-B872-14D5A2DCBE8D}" uniqueName="9" name="Gender" queryTableFieldId="9" dataDxfId="25"/>
    <tableColumn id="10" xr3:uid="{504B5180-7960-4178-BD4E-21FD34439FAC}" uniqueName="10" name="Job Role" queryTableFieldId="10" dataDxfId="24"/>
    <tableColumn id="11" xr3:uid="{150CE401-C953-4A9E-BB90-D2188468F3A2}" uniqueName="11" name="Marital Status" queryTableFieldId="11" dataDxfId="23"/>
    <tableColumn id="12" xr3:uid="{6CD3A075-67B6-4DB9-A441-989803ACF48C}" uniqueName="12" name="Over Time" queryTableFieldId="12" dataDxfId="22"/>
    <tableColumn id="13" xr3:uid="{F1931AE1-8686-44E0-B22F-00E714D04161}" uniqueName="13" name="Over18" queryTableFieldId="13" dataDxfId="21"/>
    <tableColumn id="14" xr3:uid="{A1A0CE72-BCF6-4E10-A5CE-D52F50064C3E}" uniqueName="14" name="Training Times Last Year" queryTableFieldId="14"/>
    <tableColumn id="15" xr3:uid="{CB76076F-02B1-41E0-829C-5D3189DF86E7}" uniqueName="15" name="-2" queryTableFieldId="15"/>
    <tableColumn id="16" xr3:uid="{57A46744-234D-49B5-B1E7-554CDFF2A108}" uniqueName="16" name="0" queryTableFieldId="16"/>
    <tableColumn id="17" xr3:uid="{CA0096F4-07E3-4EF9-B335-DF5DCF0E2203}" uniqueName="17" name="Age" queryTableFieldId="17"/>
    <tableColumn id="18" xr3:uid="{C8B3486D-3279-49B4-8C27-68EAC074C62A}" uniqueName="18" name="CF_attrition count" queryTableFieldId="18"/>
    <tableColumn id="19" xr3:uid="{DAD088C0-9615-4E43-ACA5-0DA73B65CA40}" uniqueName="19" name="CF_attrition counts" queryTableFieldId="19"/>
    <tableColumn id="20" xr3:uid="{D8C4DE75-53A5-4A8E-8AD1-99B92D482BF9}" uniqueName="20" name="CF_attrition rate" queryTableFieldId="20"/>
    <tableColumn id="21" xr3:uid="{76172994-9DF5-4D97-A571-041D2CB60368}" uniqueName="21" name="CF_current Employee" queryTableFieldId="21"/>
    <tableColumn id="22" xr3:uid="{6FDC529D-E4A8-4619-8622-B877E708E4FC}" uniqueName="22" name="Daily Rate" queryTableFieldId="22"/>
    <tableColumn id="23" xr3:uid="{2B9643E4-F2AA-4885-A958-1AEAE7D348EF}" uniqueName="23" name="Distance From Home" queryTableFieldId="23"/>
    <tableColumn id="24" xr3:uid="{4A310DC6-FCB8-470F-A159-2EC18A36B5C1}" uniqueName="24" name="Education" queryTableFieldId="24" dataDxfId="20"/>
    <tableColumn id="25" xr3:uid="{98ABE168-7DE8-451F-ADC3-C5974DA73E0F}" uniqueName="25" name="Employee Count" queryTableFieldId="25"/>
    <tableColumn id="26" xr3:uid="{5200C5A9-89B2-4DB3-A9F5-F8FFE6541382}" uniqueName="26" name="Environment Satisfaction" queryTableFieldId="26"/>
    <tableColumn id="27" xr3:uid="{AE04F554-9C6B-46CA-B38D-6CDD9E595171}" uniqueName="27" name="Hourly Rate" queryTableFieldId="27"/>
    <tableColumn id="28" xr3:uid="{F2F60BA4-EF66-44F0-ADEA-F9E819358859}" uniqueName="28" name="Job Involvement" queryTableFieldId="28"/>
    <tableColumn id="29" xr3:uid="{00250219-2552-438D-BF8A-4E212CFFCFAC}" uniqueName="29" name="Job Level" queryTableFieldId="29"/>
    <tableColumn id="30" xr3:uid="{8E019EF9-2DEE-47E7-816E-DFA3C4E3A289}" uniqueName="30" name="Job Satisfaction" queryTableFieldId="30"/>
    <tableColumn id="31" xr3:uid="{04238AF5-35E8-451C-AEAC-159580651E7A}" uniqueName="31" name="Monthly Income" queryTableFieldId="31"/>
    <tableColumn id="32" xr3:uid="{6B29F8C6-C712-446B-9645-3F45B9CB4127}" uniqueName="32" name="Monthly Rate" queryTableFieldId="32"/>
    <tableColumn id="33" xr3:uid="{8EF88257-0A58-4F06-AEF3-A55ABAA58917}" uniqueName="33" name="Num Companies Worked" queryTableFieldId="33"/>
    <tableColumn id="34" xr3:uid="{998A4D8A-BAAF-43EF-BF09-5861B5D6EF1F}" uniqueName="34" name="Percent Salary Hike" queryTableFieldId="34"/>
    <tableColumn id="35" xr3:uid="{4867E16B-D92D-453F-BBCD-CAC336DD66C8}" uniqueName="35" name="Performance Rating" queryTableFieldId="35"/>
    <tableColumn id="36" xr3:uid="{B2739BA3-6371-467F-AA0B-341128D00A5B}" uniqueName="36" name="Relationship Satisfaction" queryTableFieldId="36"/>
    <tableColumn id="37" xr3:uid="{839C85A0-9128-4B69-8B1E-E9856A500BA0}" uniqueName="37" name="Standard Hours" queryTableFieldId="37"/>
    <tableColumn id="38" xr3:uid="{815042D3-B5F6-4425-852E-E559C06E82C5}" uniqueName="38" name="Stock Option Level" queryTableFieldId="38"/>
    <tableColumn id="39" xr3:uid="{B7ACA8F0-DD57-4621-9972-B585F518BF0F}" uniqueName="39" name="Total Working Years" queryTableFieldId="39"/>
    <tableColumn id="40" xr3:uid="{BE5DF4F1-631D-4563-B315-434EB614573A}" uniqueName="40" name="Work Life Balance" queryTableFieldId="40"/>
    <tableColumn id="41" xr3:uid="{3D69BBDD-2E57-4D6E-941D-6DBDEE7CBDB2}" uniqueName="41" name="Years At Company" queryTableFieldId="41"/>
    <tableColumn id="42" xr3:uid="{10DF32C2-32F8-4254-A183-160EE10572E2}" uniqueName="42" name="Years In Current Role" queryTableFieldId="42"/>
    <tableColumn id="43" xr3:uid="{F9295B8B-6C41-4129-B3CC-567BFED22352}" uniqueName="43" name="Years Since Last Promotion" queryTableFieldId="43"/>
    <tableColumn id="44" xr3:uid="{F12E554F-9A33-45FC-B580-17D7B26EAC86}"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6283-8643-4FF8-90F2-EBA63C37EAD2}">
  <dimension ref="A3:C8"/>
  <sheetViews>
    <sheetView workbookViewId="0">
      <selection activeCell="J16" sqref="J16"/>
    </sheetView>
  </sheetViews>
  <sheetFormatPr defaultRowHeight="14.4" x14ac:dyDescent="0.3"/>
  <cols>
    <col min="1" max="1" width="24" bestFit="1" customWidth="1"/>
  </cols>
  <sheetData>
    <row r="3" spans="1:3" x14ac:dyDescent="0.3">
      <c r="A3" t="s">
        <v>1562</v>
      </c>
    </row>
    <row r="4" spans="1:3" x14ac:dyDescent="0.3">
      <c r="A4" s="5">
        <v>2.6265306122448981</v>
      </c>
    </row>
    <row r="7" spans="1:3" x14ac:dyDescent="0.3">
      <c r="A7" t="s">
        <v>1563</v>
      </c>
      <c r="B7" s="5">
        <f>A4</f>
        <v>2.6265306122448981</v>
      </c>
      <c r="C7">
        <f>B7/4</f>
        <v>0.65663265306122454</v>
      </c>
    </row>
    <row r="8" spans="1:3" x14ac:dyDescent="0.3">
      <c r="A8" t="s">
        <v>1564</v>
      </c>
      <c r="B8" s="5">
        <f>4 - Rating!B7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0B51-A4F4-44D3-91C5-2C1797CFC96A}">
  <dimension ref="A3:C11"/>
  <sheetViews>
    <sheetView workbookViewId="0">
      <selection activeCell="P13" sqref="P13"/>
    </sheetView>
  </sheetViews>
  <sheetFormatPr defaultRowHeight="14.4" x14ac:dyDescent="0.3"/>
  <cols>
    <col min="1" max="1" width="12.5546875" bestFit="1" customWidth="1"/>
    <col min="2" max="2" width="21.6640625" bestFit="1" customWidth="1"/>
  </cols>
  <sheetData>
    <row r="3" spans="1:3" x14ac:dyDescent="0.3">
      <c r="A3" s="6" t="s">
        <v>1565</v>
      </c>
      <c r="B3" t="s">
        <v>1567</v>
      </c>
    </row>
    <row r="4" spans="1:3" x14ac:dyDescent="0.3">
      <c r="A4" s="7" t="s">
        <v>51</v>
      </c>
      <c r="B4" s="4">
        <v>588</v>
      </c>
    </row>
    <row r="5" spans="1:3" x14ac:dyDescent="0.3">
      <c r="A5" s="7" t="s">
        <v>62</v>
      </c>
      <c r="B5" s="4">
        <v>882</v>
      </c>
    </row>
    <row r="6" spans="1:3" x14ac:dyDescent="0.3">
      <c r="A6" s="7" t="s">
        <v>1566</v>
      </c>
      <c r="B6" s="4">
        <v>1470</v>
      </c>
    </row>
    <row r="10" spans="1:3" x14ac:dyDescent="0.3">
      <c r="A10" t="s">
        <v>51</v>
      </c>
      <c r="B10">
        <f>IFERROR(GETPIVOTDATA("Employee Count",$A$3,"Gender","Female"),0)</f>
        <v>588</v>
      </c>
      <c r="C10" s="8">
        <f>IFERROR(B10/($B$10 +$B$11),0)</f>
        <v>0.4</v>
      </c>
    </row>
    <row r="11" spans="1:3" x14ac:dyDescent="0.3">
      <c r="A11" t="s">
        <v>62</v>
      </c>
      <c r="B11">
        <f>IFERROR(GETPIVOTDATA("Employee Count",$A$3,"Gender","Male"),0)</f>
        <v>882</v>
      </c>
      <c r="C11" s="8">
        <f>IFERROR(B11/($B$10 +$B$11),0)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2D4F-91B5-467C-B44D-2C3DC278FBF2}">
  <dimension ref="A3:B9"/>
  <sheetViews>
    <sheetView workbookViewId="0">
      <selection activeCell="L23" sqref="L23"/>
    </sheetView>
  </sheetViews>
  <sheetFormatPr defaultRowHeight="14.4" x14ac:dyDescent="0.3"/>
  <cols>
    <col min="1" max="1" width="15.88671875" bestFit="1" customWidth="1"/>
    <col min="2" max="2" width="22.88671875" bestFit="1" customWidth="1"/>
  </cols>
  <sheetData>
    <row r="3" spans="1:2" x14ac:dyDescent="0.3">
      <c r="A3" s="6" t="s">
        <v>1565</v>
      </c>
      <c r="B3" t="s">
        <v>1555</v>
      </c>
    </row>
    <row r="4" spans="1:2" x14ac:dyDescent="0.3">
      <c r="A4" s="7" t="s">
        <v>134</v>
      </c>
      <c r="B4" s="4">
        <v>5</v>
      </c>
    </row>
    <row r="5" spans="1:2" x14ac:dyDescent="0.3">
      <c r="A5" s="7" t="s">
        <v>65</v>
      </c>
      <c r="B5" s="4">
        <v>31</v>
      </c>
    </row>
    <row r="6" spans="1:2" x14ac:dyDescent="0.3">
      <c r="A6" s="7" t="s">
        <v>55</v>
      </c>
      <c r="B6" s="4">
        <v>44</v>
      </c>
    </row>
    <row r="7" spans="1:2" x14ac:dyDescent="0.3">
      <c r="A7" s="7" t="s">
        <v>71</v>
      </c>
      <c r="B7" s="4">
        <v>58</v>
      </c>
    </row>
    <row r="8" spans="1:2" x14ac:dyDescent="0.3">
      <c r="A8" s="7" t="s">
        <v>77</v>
      </c>
      <c r="B8" s="4">
        <v>99</v>
      </c>
    </row>
    <row r="9" spans="1:2" x14ac:dyDescent="0.3">
      <c r="A9" s="7" t="s">
        <v>1566</v>
      </c>
      <c r="B9" s="4">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1957-D1AE-423B-8AFB-DE82EBDAD434}">
  <dimension ref="A3:F13"/>
  <sheetViews>
    <sheetView workbookViewId="0">
      <selection activeCell="E4" sqref="E4:F12"/>
    </sheetView>
  </sheetViews>
  <sheetFormatPr defaultRowHeight="14.4" x14ac:dyDescent="0.3"/>
  <cols>
    <col min="1" max="2" width="22.88671875" bestFit="1" customWidth="1"/>
    <col min="5" max="5" width="22.6640625" customWidth="1"/>
    <col min="6" max="6" width="13.33203125" customWidth="1"/>
  </cols>
  <sheetData>
    <row r="3" spans="1:6" x14ac:dyDescent="0.3">
      <c r="A3" s="6" t="s">
        <v>1565</v>
      </c>
      <c r="B3" t="s">
        <v>1555</v>
      </c>
      <c r="E3" t="s">
        <v>9</v>
      </c>
      <c r="F3" t="s">
        <v>1558</v>
      </c>
    </row>
    <row r="4" spans="1:6" x14ac:dyDescent="0.3">
      <c r="A4" s="7" t="s">
        <v>83</v>
      </c>
      <c r="B4" s="4">
        <v>9</v>
      </c>
      <c r="E4" t="str">
        <f>A4</f>
        <v>Healthcare Representative</v>
      </c>
      <c r="F4">
        <f>GETPIVOTDATA("CF_attrition count",$A$3,"Job Role",A4)</f>
        <v>9</v>
      </c>
    </row>
    <row r="5" spans="1:6" x14ac:dyDescent="0.3">
      <c r="A5" s="7" t="s">
        <v>163</v>
      </c>
      <c r="B5" s="4">
        <v>12</v>
      </c>
      <c r="E5" t="str">
        <f t="shared" ref="E5:E12" si="0">A5</f>
        <v>Human Resources</v>
      </c>
      <c r="F5">
        <f t="shared" ref="F5:F12" si="1">GETPIVOTDATA("CF_attrition count",$A$3,"Job Role",A5)</f>
        <v>12</v>
      </c>
    </row>
    <row r="6" spans="1:6" x14ac:dyDescent="0.3">
      <c r="A6" s="7" t="s">
        <v>68</v>
      </c>
      <c r="B6" s="4">
        <v>62</v>
      </c>
      <c r="E6" t="str">
        <f t="shared" si="0"/>
        <v>Laboratory Technician</v>
      </c>
      <c r="F6">
        <f t="shared" si="1"/>
        <v>62</v>
      </c>
    </row>
    <row r="7" spans="1:6" x14ac:dyDescent="0.3">
      <c r="A7" s="7" t="s">
        <v>95</v>
      </c>
      <c r="B7" s="4">
        <v>5</v>
      </c>
      <c r="E7" t="str">
        <f t="shared" si="0"/>
        <v>Manager</v>
      </c>
      <c r="F7">
        <f t="shared" si="1"/>
        <v>5</v>
      </c>
    </row>
    <row r="8" spans="1:6" x14ac:dyDescent="0.3">
      <c r="A8" s="7" t="s">
        <v>81</v>
      </c>
      <c r="B8" s="4">
        <v>10</v>
      </c>
      <c r="E8" t="str">
        <f t="shared" si="0"/>
        <v>Manufacturing Director</v>
      </c>
      <c r="F8">
        <f t="shared" si="1"/>
        <v>10</v>
      </c>
    </row>
    <row r="9" spans="1:6" x14ac:dyDescent="0.3">
      <c r="A9" s="7" t="s">
        <v>101</v>
      </c>
      <c r="B9" s="4">
        <v>2</v>
      </c>
      <c r="E9" t="str">
        <f t="shared" si="0"/>
        <v>Research Director</v>
      </c>
      <c r="F9">
        <f t="shared" si="1"/>
        <v>2</v>
      </c>
    </row>
    <row r="10" spans="1:6" x14ac:dyDescent="0.3">
      <c r="A10" s="7" t="s">
        <v>63</v>
      </c>
      <c r="B10" s="4">
        <v>47</v>
      </c>
      <c r="E10" t="str">
        <f t="shared" si="0"/>
        <v>Research Scientist</v>
      </c>
      <c r="F10">
        <f t="shared" si="1"/>
        <v>47</v>
      </c>
    </row>
    <row r="11" spans="1:6" x14ac:dyDescent="0.3">
      <c r="A11" s="7" t="s">
        <v>52</v>
      </c>
      <c r="B11" s="4">
        <v>57</v>
      </c>
      <c r="E11" t="str">
        <f t="shared" si="0"/>
        <v>Sales Executive</v>
      </c>
      <c r="F11">
        <f t="shared" si="1"/>
        <v>57</v>
      </c>
    </row>
    <row r="12" spans="1:6" x14ac:dyDescent="0.3">
      <c r="A12" s="7" t="s">
        <v>99</v>
      </c>
      <c r="B12" s="4">
        <v>33</v>
      </c>
      <c r="E12" t="str">
        <f t="shared" si="0"/>
        <v>Sales Representative</v>
      </c>
      <c r="F12">
        <f t="shared" si="1"/>
        <v>33</v>
      </c>
    </row>
    <row r="13" spans="1:6" x14ac:dyDescent="0.3">
      <c r="A13" s="7" t="s">
        <v>1566</v>
      </c>
      <c r="B13"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F048-5AFC-4125-8B9A-62E089F49413}">
  <dimension ref="A3:B7"/>
  <sheetViews>
    <sheetView workbookViewId="0">
      <selection activeCell="A4" sqref="A4:B6"/>
    </sheetView>
  </sheetViews>
  <sheetFormatPr defaultRowHeight="14.4" x14ac:dyDescent="0.3"/>
  <cols>
    <col min="1" max="1" width="12.5546875" bestFit="1" customWidth="1"/>
    <col min="2" max="2" width="22.88671875" bestFit="1" customWidth="1"/>
  </cols>
  <sheetData>
    <row r="3" spans="1:2" x14ac:dyDescent="0.3">
      <c r="A3" s="6" t="s">
        <v>1565</v>
      </c>
      <c r="B3" t="s">
        <v>1555</v>
      </c>
    </row>
    <row r="4" spans="1:2" x14ac:dyDescent="0.3">
      <c r="A4" s="7" t="s">
        <v>161</v>
      </c>
      <c r="B4" s="9">
        <v>5.0632911392405063E-2</v>
      </c>
    </row>
    <row r="5" spans="1:2" x14ac:dyDescent="0.3">
      <c r="A5" s="7" t="s">
        <v>60</v>
      </c>
      <c r="B5" s="9">
        <v>0.56118143459915615</v>
      </c>
    </row>
    <row r="6" spans="1:2" x14ac:dyDescent="0.3">
      <c r="A6" s="7" t="s">
        <v>48</v>
      </c>
      <c r="B6" s="9">
        <v>0.3881856540084388</v>
      </c>
    </row>
    <row r="7" spans="1:2" x14ac:dyDescent="0.3">
      <c r="A7" s="7" t="s">
        <v>1566</v>
      </c>
      <c r="B7" s="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E46C-7631-4E4C-A665-876750EAB377}">
  <dimension ref="A3:B9"/>
  <sheetViews>
    <sheetView workbookViewId="0">
      <selection activeCell="B4" sqref="B4"/>
    </sheetView>
  </sheetViews>
  <sheetFormatPr defaultRowHeight="14.4" x14ac:dyDescent="0.3"/>
  <cols>
    <col min="1" max="1" width="12.5546875" bestFit="1" customWidth="1"/>
    <col min="2" max="2" width="22.88671875" bestFit="1" customWidth="1"/>
  </cols>
  <sheetData>
    <row r="3" spans="1:2" x14ac:dyDescent="0.3">
      <c r="A3" s="6" t="s">
        <v>1565</v>
      </c>
      <c r="B3" t="s">
        <v>1555</v>
      </c>
    </row>
    <row r="4" spans="1:2" x14ac:dyDescent="0.3">
      <c r="A4" s="7" t="s">
        <v>69</v>
      </c>
      <c r="B4" s="4">
        <v>112</v>
      </c>
    </row>
    <row r="5" spans="1:2" x14ac:dyDescent="0.3">
      <c r="A5" s="7" t="s">
        <v>46</v>
      </c>
      <c r="B5" s="4">
        <v>51</v>
      </c>
    </row>
    <row r="6" spans="1:2" x14ac:dyDescent="0.3">
      <c r="A6" s="7" t="s">
        <v>92</v>
      </c>
      <c r="B6" s="4">
        <v>38</v>
      </c>
    </row>
    <row r="7" spans="1:2" x14ac:dyDescent="0.3">
      <c r="A7" s="7" t="s">
        <v>58</v>
      </c>
      <c r="B7" s="4">
        <v>25</v>
      </c>
    </row>
    <row r="8" spans="1:2" x14ac:dyDescent="0.3">
      <c r="A8" s="7" t="s">
        <v>75</v>
      </c>
      <c r="B8" s="4">
        <v>11</v>
      </c>
    </row>
    <row r="9" spans="1:2" x14ac:dyDescent="0.3">
      <c r="A9" s="7" t="s">
        <v>1566</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65D6-2576-4327-A13D-A9D39601F230}">
  <dimension ref="A3:F7"/>
  <sheetViews>
    <sheetView workbookViewId="0">
      <selection activeCell="B4" sqref="B4"/>
    </sheetView>
  </sheetViews>
  <sheetFormatPr defaultRowHeight="14.4" x14ac:dyDescent="0.3"/>
  <cols>
    <col min="1" max="1" width="12.5546875" bestFit="1" customWidth="1"/>
    <col min="2" max="2" width="15.88671875" bestFit="1" customWidth="1"/>
    <col min="5" max="5" width="13.21875" customWidth="1"/>
  </cols>
  <sheetData>
    <row r="3" spans="1:6" x14ac:dyDescent="0.3">
      <c r="A3" s="6" t="s">
        <v>1565</v>
      </c>
      <c r="B3" t="s">
        <v>1568</v>
      </c>
      <c r="E3" t="s">
        <v>1569</v>
      </c>
      <c r="F3" t="s">
        <v>0</v>
      </c>
    </row>
    <row r="4" spans="1:6" x14ac:dyDescent="0.3">
      <c r="A4" s="7" t="s">
        <v>79</v>
      </c>
      <c r="B4" s="4">
        <v>327</v>
      </c>
      <c r="E4" t="str">
        <f>A4</f>
        <v>Divorced</v>
      </c>
      <c r="F4">
        <f>GETPIVOTDATA("Attrition",$A$3,"Marital Status",A4)</f>
        <v>327</v>
      </c>
    </row>
    <row r="5" spans="1:6" x14ac:dyDescent="0.3">
      <c r="A5" s="7" t="s">
        <v>53</v>
      </c>
      <c r="B5" s="4">
        <v>470</v>
      </c>
      <c r="E5" t="str">
        <f t="shared" ref="E5:E6" si="0">A5</f>
        <v>Single</v>
      </c>
      <c r="F5">
        <f t="shared" ref="F5:F6" si="1">GETPIVOTDATA("Attrition",$A$3,"Marital Status",A5)</f>
        <v>470</v>
      </c>
    </row>
    <row r="6" spans="1:6" x14ac:dyDescent="0.3">
      <c r="A6" s="7" t="s">
        <v>64</v>
      </c>
      <c r="B6" s="4">
        <v>673</v>
      </c>
      <c r="E6" t="str">
        <f t="shared" si="0"/>
        <v>Married</v>
      </c>
      <c r="F6">
        <f t="shared" si="1"/>
        <v>673</v>
      </c>
    </row>
    <row r="7" spans="1:6" x14ac:dyDescent="0.3">
      <c r="A7" s="7" t="s">
        <v>1566</v>
      </c>
      <c r="B7" s="4">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C251-CB32-494B-8D25-A0043B40C180}">
  <dimension ref="A1:AR1471"/>
  <sheetViews>
    <sheetView topLeftCell="A2" workbookViewId="0">
      <selection activeCell="A2" sqref="A2:AR1471"/>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4.88671875" bestFit="1" customWidth="1"/>
    <col min="16" max="16" width="4.21875" bestFit="1" customWidth="1"/>
    <col min="17" max="17" width="6.44140625" bestFit="1" customWidth="1"/>
    <col min="18" max="18" width="18.44140625" bestFit="1" customWidth="1"/>
    <col min="19" max="19" width="19.21875" bestFit="1" customWidth="1"/>
    <col min="20" max="20" width="16.88671875" bestFit="1" customWidth="1"/>
    <col min="21" max="21" width="21.33203125" bestFit="1" customWidth="1"/>
    <col min="22" max="22" width="11.5546875" bestFit="1" customWidth="1"/>
    <col min="23" max="23" width="20.77734375" bestFit="1" customWidth="1"/>
    <col min="24" max="24" width="15.88671875" bestFit="1" customWidth="1"/>
    <col min="25" max="25" width="17.21875" bestFit="1" customWidth="1"/>
    <col min="26" max="26" width="24.6640625" bestFit="1" customWidth="1"/>
    <col min="27" max="27" width="13" bestFit="1" customWidth="1"/>
    <col min="28" max="28" width="17.33203125" bestFit="1" customWidth="1"/>
    <col min="29" max="29" width="10.88671875" bestFit="1" customWidth="1"/>
    <col min="30" max="30" width="16.44140625" bestFit="1" customWidth="1"/>
    <col min="31" max="31" width="17.33203125" bestFit="1" customWidth="1"/>
    <col min="32" max="32" width="14.6640625" bestFit="1" customWidth="1"/>
    <col min="33" max="33" width="24.5546875" bestFit="1" customWidth="1"/>
    <col min="34" max="34" width="19.5546875" bestFit="1" customWidth="1"/>
    <col min="35" max="35" width="20.109375" bestFit="1" customWidth="1"/>
    <col min="36" max="36" width="24.109375" bestFit="1" customWidth="1"/>
    <col min="37" max="37" width="16.33203125" bestFit="1" customWidth="1"/>
    <col min="38" max="38" width="19" bestFit="1" customWidth="1"/>
    <col min="39" max="39" width="20.109375" bestFit="1" customWidth="1"/>
    <col min="40" max="40" width="18.33203125" bestFit="1" customWidth="1"/>
    <col min="41" max="41" width="18.6640625" bestFit="1" customWidth="1"/>
    <col min="42" max="42" width="20.88671875" bestFit="1" customWidth="1"/>
    <col min="43" max="43" width="26.109375" bestFit="1" customWidth="1"/>
    <col min="44" max="44" width="24.4414062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D65D-3E0D-44B1-998D-40D6BF15C895}">
  <dimension ref="C6:G12"/>
  <sheetViews>
    <sheetView workbookViewId="0">
      <selection activeCell="C12" sqref="C12"/>
    </sheetView>
  </sheetViews>
  <sheetFormatPr defaultRowHeight="14.4" x14ac:dyDescent="0.3"/>
  <cols>
    <col min="3" max="3" width="24.77734375" bestFit="1" customWidth="1"/>
    <col min="4" max="4" width="22.88671875" bestFit="1" customWidth="1"/>
    <col min="5" max="5" width="13.88671875" bestFit="1" customWidth="1"/>
    <col min="6" max="6" width="15.33203125" customWidth="1"/>
    <col min="7" max="7" width="12.77734375" customWidth="1"/>
  </cols>
  <sheetData>
    <row r="6" spans="3:7" x14ac:dyDescent="0.3">
      <c r="C6" t="s">
        <v>1554</v>
      </c>
      <c r="D6" t="s">
        <v>1555</v>
      </c>
      <c r="E6" t="s">
        <v>1556</v>
      </c>
    </row>
    <row r="7" spans="3:7" x14ac:dyDescent="0.3">
      <c r="C7" s="4">
        <v>1470</v>
      </c>
      <c r="D7" s="4">
        <v>237</v>
      </c>
      <c r="E7" s="4">
        <v>36.923809523809524</v>
      </c>
    </row>
    <row r="11" spans="3:7" x14ac:dyDescent="0.3">
      <c r="C11" t="s">
        <v>1557</v>
      </c>
      <c r="D11" t="s">
        <v>1558</v>
      </c>
      <c r="E11" t="s">
        <v>1561</v>
      </c>
      <c r="F11" t="s">
        <v>1559</v>
      </c>
      <c r="G11" t="s">
        <v>1560</v>
      </c>
    </row>
    <row r="12" spans="3:7" x14ac:dyDescent="0.3">
      <c r="C12">
        <f>C7</f>
        <v>1470</v>
      </c>
      <c r="D12">
        <f>D7</f>
        <v>237</v>
      </c>
      <c r="E12" s="1">
        <f>E7</f>
        <v>36.923809523809524</v>
      </c>
      <c r="F12">
        <f>C12-D12</f>
        <v>1233</v>
      </c>
      <c r="G12" s="2">
        <f>D12/C12</f>
        <v>0.16122448979591836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85BF-5B53-45EA-9BAC-490B328699C1}">
  <dimension ref="A1"/>
  <sheetViews>
    <sheetView showFormulas="1" showGridLines="0" tabSelected="1" topLeftCell="C1" zoomScale="63" zoomScaleNormal="82" workbookViewId="0">
      <selection activeCell="R32" sqref="R32"/>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A23A5C-C28A-46E8-9D66-8E1D0D75A5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Gender</vt:lpstr>
      <vt:lpstr>Education by Attrition</vt:lpstr>
      <vt:lpstr>Attrition by Job</vt:lpstr>
      <vt:lpstr>Department wise Attrition</vt:lpstr>
      <vt:lpstr>Attrition by Age Group</vt:lpstr>
      <vt:lpstr>Martial Status</vt:lpstr>
      <vt:lpstr>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RushiNandan Reddy</dc:creator>
  <cp:lastModifiedBy>RushiNandan Reddy</cp:lastModifiedBy>
  <dcterms:created xsi:type="dcterms:W3CDTF">2026-05-01T07:44:28Z</dcterms:created>
  <dcterms:modified xsi:type="dcterms:W3CDTF">2026-05-06T08:39:30Z</dcterms:modified>
</cp:coreProperties>
</file>